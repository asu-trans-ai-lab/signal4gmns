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mc:AlternateContent xmlns:mc="http://schemas.openxmlformats.org/markup-compatibility/2006">
    <mc:Choice Requires="x15">
      <x15ac:absPath xmlns:x15ac="http://schemas.microsoft.com/office/spreadsheetml/2010/11/ac" url="E:\研究生\科研\学习资料\信号控制\SignalControl_Cases\Case1\"/>
    </mc:Choice>
  </mc:AlternateContent>
  <xr:revisionPtr revIDLastSave="0" documentId="13_ncr:1_{C31D84FD-2B4E-4ED1-A02E-BB659E8A42E0}" xr6:coauthVersionLast="45" xr6:coauthVersionMax="45" xr10:uidLastSave="{00000000-0000-0000-0000-000000000000}"/>
  <bookViews>
    <workbookView xWindow="-108" yWindow="-108" windowWidth="23256" windowHeight="12576" tabRatio="776" firstSheet="1" activeTab="9" xr2:uid="{00000000-000D-0000-FFFF-FFFF00000000}"/>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signal_phase" sheetId="14" r:id="rId11"/>
    <sheet name="signal_phase_concurrency" sheetId="15" r:id="rId12"/>
    <sheet name="signal_timing_plan" sheetId="16" r:id="rId13"/>
    <sheet name="signal_timing_phase" sheetId="17" r:id="rId14"/>
    <sheet name="data_dictionary" sheetId="18" r:id="rId15"/>
    <sheet name="Y-AllRed" sheetId="10" state="hidden" r:id="rId16"/>
    <sheet name="DetZone" sheetId="11" state="hidden" r:id="rId17"/>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7" i="2" l="1"/>
  <c r="I17" i="2"/>
  <c r="I3" i="2"/>
  <c r="S8" i="2" l="1"/>
  <c r="C3" i="2"/>
  <c r="G3" i="2"/>
  <c r="H3" i="2"/>
  <c r="P6" i="9" l="1"/>
  <c r="J7" i="2"/>
  <c r="I7" i="2"/>
  <c r="H7" i="2"/>
  <c r="G7" i="2"/>
  <c r="E7" i="2"/>
  <c r="N82" i="7"/>
  <c r="M82" i="7"/>
  <c r="L82" i="7"/>
  <c r="K82" i="7"/>
  <c r="J82" i="7"/>
  <c r="I82" i="7"/>
  <c r="AK3" i="7"/>
  <c r="AI3" i="7"/>
  <c r="AG3" i="7"/>
  <c r="AE3" i="7"/>
  <c r="AK1" i="7"/>
  <c r="AJ1" i="7"/>
  <c r="AI1" i="7"/>
  <c r="AH1" i="7"/>
  <c r="AG1" i="7"/>
  <c r="AF1" i="7"/>
  <c r="AE1" i="7"/>
  <c r="AD1" i="7"/>
  <c r="AC40" i="9"/>
  <c r="AC36" i="9"/>
  <c r="H23" i="9"/>
  <c r="D23" i="9"/>
  <c r="N16" i="3"/>
  <c r="M16" i="3"/>
  <c r="L16" i="3"/>
  <c r="N15" i="3"/>
  <c r="M15" i="3"/>
  <c r="L15" i="3"/>
  <c r="N14" i="3"/>
  <c r="M14" i="3"/>
  <c r="L14" i="3"/>
  <c r="N13" i="3"/>
  <c r="M13" i="3"/>
  <c r="L13" i="3"/>
  <c r="N12" i="3"/>
  <c r="M12" i="3"/>
  <c r="L12" i="3"/>
  <c r="N11" i="3"/>
  <c r="M11" i="3"/>
  <c r="L11" i="3"/>
  <c r="N10" i="3"/>
  <c r="M10" i="3"/>
  <c r="L10" i="3"/>
  <c r="N143" i="4"/>
  <c r="K143" i="4"/>
  <c r="H143" i="4"/>
  <c r="E143" i="4"/>
  <c r="G134" i="4"/>
  <c r="F134" i="4"/>
  <c r="F137" i="4" s="1"/>
  <c r="E134" i="4"/>
  <c r="E137" i="4" s="1"/>
  <c r="G133" i="4"/>
  <c r="F133" i="4"/>
  <c r="E133" i="4"/>
  <c r="D133" i="4"/>
  <c r="D134" i="4" s="1"/>
  <c r="BF125" i="4"/>
  <c r="BE125" i="4"/>
  <c r="BD125" i="4"/>
  <c r="BA125" i="4"/>
  <c r="AX125" i="4"/>
  <c r="AW125" i="4"/>
  <c r="AV125" i="4"/>
  <c r="AU125" i="4"/>
  <c r="AT125" i="4"/>
  <c r="AS125" i="4"/>
  <c r="AR125" i="4"/>
  <c r="AQ125" i="4"/>
  <c r="AP125" i="4"/>
  <c r="AO125" i="4"/>
  <c r="AN125" i="4"/>
  <c r="AI125" i="4"/>
  <c r="AE125" i="4"/>
  <c r="AD125" i="4"/>
  <c r="Y125" i="4"/>
  <c r="X125" i="4"/>
  <c r="R125" i="4"/>
  <c r="Q125" i="4"/>
  <c r="N118" i="4"/>
  <c r="K118" i="4"/>
  <c r="H118" i="4"/>
  <c r="E118" i="4"/>
  <c r="N110" i="4"/>
  <c r="K110" i="4"/>
  <c r="H110" i="4"/>
  <c r="E110" i="4"/>
  <c r="E32" i="4"/>
  <c r="H82" i="7" s="1"/>
  <c r="D32" i="4"/>
  <c r="G82" i="7" s="1"/>
  <c r="AA30" i="4"/>
  <c r="Z29" i="4"/>
  <c r="AB28" i="4"/>
  <c r="AB29" i="4" s="1"/>
  <c r="AB30" i="4" s="1"/>
  <c r="AB31" i="4" s="1"/>
  <c r="AB32" i="4" s="1"/>
  <c r="AB33" i="4" s="1"/>
  <c r="AB34" i="4" s="1"/>
  <c r="AB35" i="4" s="1"/>
  <c r="AB36" i="4" s="1"/>
  <c r="AA28" i="4"/>
  <c r="AA29" i="4" s="1"/>
  <c r="Z30" i="4" s="1"/>
  <c r="AA27" i="4"/>
  <c r="Z28" i="4" s="1"/>
  <c r="Z27" i="4"/>
  <c r="AA26" i="4"/>
  <c r="Z26" i="4"/>
  <c r="AB25" i="4"/>
  <c r="AB26" i="4" s="1"/>
  <c r="AB27" i="4" s="1"/>
  <c r="AB24" i="4"/>
  <c r="O20" i="4"/>
  <c r="N20" i="4"/>
  <c r="M20" i="4"/>
  <c r="L20" i="4"/>
  <c r="K20" i="4"/>
  <c r="J20" i="4"/>
  <c r="I20" i="4"/>
  <c r="H20" i="4"/>
  <c r="G20" i="4"/>
  <c r="F20" i="4"/>
  <c r="E20" i="4"/>
  <c r="D20" i="4"/>
  <c r="N19" i="4"/>
  <c r="K19" i="4"/>
  <c r="H19" i="4"/>
  <c r="E19" i="4"/>
  <c r="AG11" i="4"/>
  <c r="AF11" i="4"/>
  <c r="AG10" i="4"/>
  <c r="AF10" i="4"/>
  <c r="BN9" i="4"/>
  <c r="AG9" i="4"/>
  <c r="AF9" i="4"/>
  <c r="AG8" i="4"/>
  <c r="AF8" i="4"/>
  <c r="AG7" i="4"/>
  <c r="AF7" i="4"/>
  <c r="BX6" i="4"/>
  <c r="BW6" i="4"/>
  <c r="BV6" i="4"/>
  <c r="BU6" i="4"/>
  <c r="BT6" i="4"/>
  <c r="BS6" i="4"/>
  <c r="BR6" i="4"/>
  <c r="BQ6" i="4"/>
  <c r="BP6" i="4"/>
  <c r="BO6" i="4"/>
  <c r="BN6" i="4"/>
  <c r="BM6" i="4"/>
  <c r="AG6" i="4"/>
  <c r="AF6" i="4"/>
  <c r="AG5" i="4"/>
  <c r="AF5" i="4"/>
  <c r="AG4" i="4"/>
  <c r="AF4" i="4"/>
  <c r="M4" i="4"/>
  <c r="BK3" i="4"/>
  <c r="AG3" i="4"/>
  <c r="AF3" i="4"/>
  <c r="AF125" i="4" s="1"/>
  <c r="T3" i="4"/>
  <c r="T2" i="4"/>
  <c r="BC56" i="6"/>
  <c r="W52" i="6"/>
  <c r="W49" i="6"/>
  <c r="BE37" i="6"/>
  <c r="BE38" i="6" s="1"/>
  <c r="AN37" i="6"/>
  <c r="AN38" i="6" s="1"/>
  <c r="W37" i="6"/>
  <c r="W38" i="6" s="1"/>
  <c r="E37" i="6"/>
  <c r="E38" i="6" s="1"/>
  <c r="AL26" i="6"/>
  <c r="AN26" i="6" s="1"/>
  <c r="G48" i="2"/>
  <c r="Z36" i="2"/>
  <c r="U45" i="2" s="1"/>
  <c r="C7" i="2"/>
  <c r="F25" i="8"/>
  <c r="F23" i="8"/>
  <c r="M20" i="8"/>
  <c r="M18" i="8"/>
  <c r="J14" i="8"/>
  <c r="F10" i="8"/>
  <c r="L9" i="8"/>
  <c r="F8" i="8"/>
  <c r="W7" i="8"/>
  <c r="L7" i="8"/>
  <c r="V5" i="8"/>
  <c r="I57" i="1"/>
  <c r="G57" i="1"/>
  <c r="E57" i="1"/>
  <c r="C57" i="1"/>
  <c r="I55" i="1"/>
  <c r="G55" i="1"/>
  <c r="E55" i="1"/>
  <c r="C55" i="1"/>
  <c r="I54" i="1"/>
  <c r="G54" i="1"/>
  <c r="E54" i="1"/>
  <c r="C54" i="1"/>
  <c r="I53" i="1"/>
  <c r="G53" i="1"/>
  <c r="E53" i="1"/>
  <c r="C53" i="1"/>
  <c r="I52" i="1"/>
  <c r="G52" i="1"/>
  <c r="E52" i="1"/>
  <c r="C52" i="1"/>
  <c r="J42" i="1"/>
  <c r="I42" i="1"/>
  <c r="H42" i="1"/>
  <c r="G42" i="1"/>
  <c r="F42" i="1"/>
  <c r="E42" i="1"/>
  <c r="D42" i="1"/>
  <c r="C42" i="1"/>
  <c r="B42" i="1"/>
  <c r="T38" i="1"/>
  <c r="I11" i="7" s="1"/>
  <c r="O38" i="1"/>
  <c r="A11" i="7" s="1"/>
  <c r="J38" i="1"/>
  <c r="D3" i="7" s="1"/>
  <c r="E38" i="1"/>
  <c r="D18" i="7" s="1"/>
  <c r="U33" i="1"/>
  <c r="T33" i="1"/>
  <c r="S33" i="1"/>
  <c r="P33" i="1"/>
  <c r="O33" i="1"/>
  <c r="N33" i="1"/>
  <c r="K33" i="1"/>
  <c r="J33" i="1"/>
  <c r="I33" i="1"/>
  <c r="F33" i="1"/>
  <c r="E33" i="1"/>
  <c r="D33" i="1"/>
  <c r="U31" i="1"/>
  <c r="T31" i="1"/>
  <c r="H4" i="4" s="1"/>
  <c r="I4" i="4" s="1"/>
  <c r="S31" i="1"/>
  <c r="G4" i="4" s="1"/>
  <c r="P31" i="1"/>
  <c r="O31" i="1"/>
  <c r="E4" i="4" s="1"/>
  <c r="F4" i="4" s="1"/>
  <c r="N31" i="1"/>
  <c r="D4" i="4" s="1"/>
  <c r="P4" i="4" s="1"/>
  <c r="P11" i="4" s="1"/>
  <c r="K31" i="1"/>
  <c r="J31" i="1"/>
  <c r="N4" i="4" s="1"/>
  <c r="O4" i="4" s="1"/>
  <c r="I31" i="1"/>
  <c r="F31" i="1"/>
  <c r="E31" i="1"/>
  <c r="K4" i="4" s="1"/>
  <c r="L4" i="4" s="1"/>
  <c r="D31" i="1"/>
  <c r="J4" i="4" s="1"/>
  <c r="T29" i="1"/>
  <c r="V2" i="8" s="1"/>
  <c r="R22" i="9" s="1"/>
  <c r="O29" i="1"/>
  <c r="T2" i="8" s="1"/>
  <c r="P22" i="9" s="1"/>
  <c r="J29" i="1"/>
  <c r="W2" i="8" s="1"/>
  <c r="V22" i="9" s="1"/>
  <c r="E29" i="1"/>
  <c r="U2" i="8" s="1"/>
  <c r="T22" i="9" s="1"/>
  <c r="U22" i="1"/>
  <c r="T22" i="1"/>
  <c r="S22" i="1"/>
  <c r="P22" i="1"/>
  <c r="O22" i="1"/>
  <c r="N22" i="1"/>
  <c r="K22" i="1"/>
  <c r="J22" i="1"/>
  <c r="I22" i="1"/>
  <c r="F22" i="1"/>
  <c r="E22" i="1"/>
  <c r="D22" i="1"/>
  <c r="T15" i="1"/>
  <c r="O15" i="1"/>
  <c r="J15" i="1"/>
  <c r="E15" i="1"/>
  <c r="T11" i="1"/>
  <c r="R4" i="9" s="1"/>
  <c r="R6" i="9" s="1"/>
  <c r="O11" i="1"/>
  <c r="P4" i="9" s="1"/>
  <c r="J11" i="1"/>
  <c r="V4" i="9" s="1"/>
  <c r="V6" i="9" s="1"/>
  <c r="E11" i="1"/>
  <c r="T4" i="9" s="1"/>
  <c r="T6" i="9" s="1"/>
  <c r="AG6" i="1"/>
  <c r="AD6" i="1"/>
  <c r="AA6" i="1"/>
  <c r="X6" i="1"/>
  <c r="U5" i="1"/>
  <c r="AA9" i="7" s="1"/>
  <c r="T5" i="1"/>
  <c r="S5" i="1"/>
  <c r="P5" i="1"/>
  <c r="O5" i="1"/>
  <c r="N5" i="1"/>
  <c r="K5" i="1"/>
  <c r="J5" i="1"/>
  <c r="I5" i="1"/>
  <c r="F5" i="1"/>
  <c r="AL6" i="6" s="1"/>
  <c r="E5" i="1"/>
  <c r="D5" i="1"/>
  <c r="U4" i="1"/>
  <c r="T4" i="1"/>
  <c r="F3" i="2" s="1"/>
  <c r="S4" i="1"/>
  <c r="P4" i="1"/>
  <c r="C5" i="6" s="1"/>
  <c r="D5" i="6" s="1"/>
  <c r="O4" i="1"/>
  <c r="D3" i="2" s="1"/>
  <c r="T8" i="2" s="1"/>
  <c r="N4" i="1"/>
  <c r="K4" i="1"/>
  <c r="BC5" i="6" s="1"/>
  <c r="BD5" i="6" s="1"/>
  <c r="J4" i="1"/>
  <c r="I4" i="1"/>
  <c r="F4" i="1"/>
  <c r="E4" i="1"/>
  <c r="D4" i="1"/>
  <c r="B2" i="1"/>
  <c r="U11" i="6" l="1"/>
  <c r="E3" i="2"/>
  <c r="E14" i="2" s="1"/>
  <c r="H3" i="4"/>
  <c r="AL7" i="6"/>
  <c r="AM8" i="6"/>
  <c r="AL8" i="6"/>
  <c r="L16" i="4" s="1"/>
  <c r="AL57" i="6"/>
  <c r="AL56" i="6"/>
  <c r="BC12" i="6"/>
  <c r="X4" i="7"/>
  <c r="J6" i="2"/>
  <c r="BC26" i="6"/>
  <c r="E6" i="1"/>
  <c r="T26" i="9"/>
  <c r="T24" i="9"/>
  <c r="T25" i="9" s="1"/>
  <c r="T23" i="9"/>
  <c r="T7" i="9"/>
  <c r="T9" i="9" s="1"/>
  <c r="H8" i="2"/>
  <c r="I13" i="2" s="1"/>
  <c r="D56" i="7"/>
  <c r="I76" i="7"/>
  <c r="N36" i="7"/>
  <c r="D36" i="7"/>
  <c r="N18" i="7"/>
  <c r="O57" i="7"/>
  <c r="H5" i="4"/>
  <c r="V26" i="9"/>
  <c r="V24" i="9"/>
  <c r="V25" i="9" s="1"/>
  <c r="V23" i="9"/>
  <c r="V7" i="9"/>
  <c r="V9" i="9" s="1"/>
  <c r="P23" i="9"/>
  <c r="P24" i="9"/>
  <c r="P25" i="9" s="1"/>
  <c r="P7" i="9"/>
  <c r="P9" i="9" s="1"/>
  <c r="P26" i="9"/>
  <c r="K49" i="7"/>
  <c r="A29" i="7"/>
  <c r="E68" i="7"/>
  <c r="A49" i="7"/>
  <c r="K11" i="7"/>
  <c r="K29" i="7"/>
  <c r="D8" i="2"/>
  <c r="E13" i="2" s="1"/>
  <c r="N14" i="2"/>
  <c r="C11" i="6"/>
  <c r="U12" i="6"/>
  <c r="C56" i="6"/>
  <c r="C57" i="6"/>
  <c r="AA11" i="7"/>
  <c r="U26" i="6"/>
  <c r="F6" i="2"/>
  <c r="A2" i="16"/>
  <c r="E11" i="7"/>
  <c r="C30" i="9"/>
  <c r="Y4" i="7"/>
  <c r="I6" i="2"/>
  <c r="AC14" i="4"/>
  <c r="BC13" i="6"/>
  <c r="BD49" i="6"/>
  <c r="U6" i="6"/>
  <c r="U57" i="6"/>
  <c r="U56" i="6"/>
  <c r="J6" i="1"/>
  <c r="U9" i="7"/>
  <c r="C13" i="6"/>
  <c r="AB14" i="4"/>
  <c r="C6" i="2"/>
  <c r="C11" i="2" s="1"/>
  <c r="AL12" i="6"/>
  <c r="BC57" i="6"/>
  <c r="BC11" i="6"/>
  <c r="N12" i="2"/>
  <c r="U5" i="6"/>
  <c r="V5" i="6" s="1"/>
  <c r="U11" i="7"/>
  <c r="C26" i="6"/>
  <c r="T6" i="1"/>
  <c r="F7" i="2" s="1"/>
  <c r="R26" i="9"/>
  <c r="R24" i="9"/>
  <c r="R25" i="9" s="1"/>
  <c r="R7" i="9"/>
  <c r="R9" i="9" s="1"/>
  <c r="R23" i="9"/>
  <c r="O68" i="7"/>
  <c r="I49" i="7"/>
  <c r="S29" i="7"/>
  <c r="I29" i="7"/>
  <c r="S11" i="7"/>
  <c r="U49" i="7"/>
  <c r="D6" i="2"/>
  <c r="F8" i="2"/>
  <c r="C13" i="2" s="1"/>
  <c r="N11" i="2"/>
  <c r="AL11" i="6"/>
  <c r="AM50" i="6" s="1"/>
  <c r="D49" i="6"/>
  <c r="AA31" i="4"/>
  <c r="Z31" i="4"/>
  <c r="Y17" i="7"/>
  <c r="K3" i="4"/>
  <c r="AA14" i="4"/>
  <c r="AM26" i="6"/>
  <c r="W4" i="7"/>
  <c r="J3" i="2"/>
  <c r="N3" i="4" s="1"/>
  <c r="BC6" i="6"/>
  <c r="O6" i="1"/>
  <c r="D7" i="2" s="1"/>
  <c r="W17" i="7"/>
  <c r="AM49" i="6"/>
  <c r="AD14" i="4"/>
  <c r="G6" i="2"/>
  <c r="AL13" i="6"/>
  <c r="U13" i="7"/>
  <c r="C6" i="6"/>
  <c r="E3" i="4"/>
  <c r="J8" i="2"/>
  <c r="G13" i="2" s="1"/>
  <c r="C12" i="6"/>
  <c r="I59" i="7"/>
  <c r="D21" i="7"/>
  <c r="N3" i="7"/>
  <c r="N21" i="7"/>
  <c r="D41" i="7"/>
  <c r="O40" i="7"/>
  <c r="AL5" i="6"/>
  <c r="AM5" i="6" s="1"/>
  <c r="N13" i="2"/>
  <c r="X17" i="7"/>
  <c r="H6" i="2"/>
  <c r="AA13" i="7"/>
  <c r="V49" i="6"/>
  <c r="U13" i="6"/>
  <c r="E6" i="2"/>
  <c r="E11" i="2" s="1"/>
  <c r="T4" i="4"/>
  <c r="G137" i="4"/>
  <c r="G135" i="4"/>
  <c r="G136" i="4"/>
  <c r="D137" i="4"/>
  <c r="D135" i="4"/>
  <c r="D136" i="4"/>
  <c r="E136" i="4"/>
  <c r="F136" i="4"/>
  <c r="E135" i="4"/>
  <c r="F135" i="4"/>
  <c r="E5" i="4" l="1"/>
  <c r="V57" i="6"/>
  <c r="V56" i="6"/>
  <c r="U34" i="6" s="1"/>
  <c r="V53" i="6" s="1"/>
  <c r="U21" i="6"/>
  <c r="U19" i="6"/>
  <c r="U20" i="6"/>
  <c r="U18" i="6"/>
  <c r="K5" i="4"/>
  <c r="C31" i="9"/>
  <c r="B43" i="1"/>
  <c r="BD8" i="6"/>
  <c r="BC7" i="6"/>
  <c r="BC8" i="6" s="1"/>
  <c r="O16" i="4" s="1"/>
  <c r="T28" i="9"/>
  <c r="S28" i="9" s="1"/>
  <c r="T27" i="9"/>
  <c r="S27" i="9" s="1"/>
  <c r="J75" i="4" s="1"/>
  <c r="G12" i="4"/>
  <c r="U44" i="6"/>
  <c r="U35" i="6" s="1"/>
  <c r="V48" i="6" s="1"/>
  <c r="V52" i="6"/>
  <c r="N5" i="4"/>
  <c r="J12" i="4"/>
  <c r="AL44" i="6"/>
  <c r="AL35" i="6" s="1"/>
  <c r="AM53" i="6"/>
  <c r="U7" i="6"/>
  <c r="U8" i="6" s="1"/>
  <c r="I16" i="4" s="1"/>
  <c r="V8" i="6"/>
  <c r="AS46" i="6"/>
  <c r="AS45" i="6"/>
  <c r="AS44" i="6" s="1"/>
  <c r="AL36" i="6"/>
  <c r="AL37" i="6" s="1"/>
  <c r="AL38" i="6" s="1"/>
  <c r="AM36" i="6"/>
  <c r="AM37" i="6" s="1"/>
  <c r="AM38" i="6" s="1"/>
  <c r="J46" i="6"/>
  <c r="J45" i="6"/>
  <c r="J44" i="6" s="1"/>
  <c r="D36" i="6"/>
  <c r="D37" i="6" s="1"/>
  <c r="D38" i="6" s="1"/>
  <c r="C36" i="6"/>
  <c r="C37" i="6" s="1"/>
  <c r="C38" i="6" s="1"/>
  <c r="E12" i="2"/>
  <c r="T7" i="2"/>
  <c r="T11" i="2" s="1"/>
  <c r="E6" i="4"/>
  <c r="R28" i="9"/>
  <c r="Q28" i="9" s="1"/>
  <c r="R27" i="9"/>
  <c r="Q27" i="9" s="1"/>
  <c r="G75" i="4" s="1"/>
  <c r="Z32" i="4"/>
  <c r="AA32" i="4"/>
  <c r="BD50" i="6"/>
  <c r="BE26" i="6"/>
  <c r="BD26" i="6"/>
  <c r="Z4" i="7"/>
  <c r="G11" i="2"/>
  <c r="J6" i="4"/>
  <c r="E26" i="6"/>
  <c r="D26" i="6"/>
  <c r="D50" i="6"/>
  <c r="BC21" i="6"/>
  <c r="BC19" i="6"/>
  <c r="BC20" i="6"/>
  <c r="BD57" i="6"/>
  <c r="BC18" i="6"/>
  <c r="BD56" i="6"/>
  <c r="BD48" i="6"/>
  <c r="H6" i="4"/>
  <c r="S7" i="2"/>
  <c r="C12" i="2"/>
  <c r="N6" i="4"/>
  <c r="G12" i="2"/>
  <c r="U7" i="2"/>
  <c r="P28" i="9"/>
  <c r="O28" i="9" s="1"/>
  <c r="P27" i="9"/>
  <c r="O27" i="9" s="1"/>
  <c r="D75" i="4" s="1"/>
  <c r="Z17" i="7"/>
  <c r="M12" i="4"/>
  <c r="BC44" i="6"/>
  <c r="BC35" i="6" s="1"/>
  <c r="BD53" i="6"/>
  <c r="D8" i="6"/>
  <c r="C7" i="6"/>
  <c r="C8" i="6" s="1"/>
  <c r="F16" i="4" s="1"/>
  <c r="AL21" i="6"/>
  <c r="AL19" i="6"/>
  <c r="AM56" i="6"/>
  <c r="AM48" i="6"/>
  <c r="AL20" i="6"/>
  <c r="AL18" i="6"/>
  <c r="AM57" i="6"/>
  <c r="D6" i="4"/>
  <c r="Z8" i="2"/>
  <c r="N16" i="2"/>
  <c r="C44" i="6"/>
  <c r="C35" i="6" s="1"/>
  <c r="D48" i="6" s="1"/>
  <c r="D12" i="4"/>
  <c r="AA15" i="7"/>
  <c r="C20" i="6"/>
  <c r="C18" i="6"/>
  <c r="D57" i="6"/>
  <c r="D56" i="6"/>
  <c r="C21" i="6"/>
  <c r="C19" i="6"/>
  <c r="V26" i="6"/>
  <c r="V50" i="6"/>
  <c r="W26" i="6"/>
  <c r="M6" i="4"/>
  <c r="I11" i="2"/>
  <c r="U15" i="7"/>
  <c r="N17" i="2"/>
  <c r="G14" i="2"/>
  <c r="U8" i="2"/>
  <c r="AA8" i="2" s="1"/>
  <c r="V28" i="9"/>
  <c r="U28" i="9" s="1"/>
  <c r="V27" i="9"/>
  <c r="U27" i="9" s="1"/>
  <c r="M75" i="4" s="1"/>
  <c r="I12" i="2"/>
  <c r="V7" i="2"/>
  <c r="K6" i="4"/>
  <c r="AB46" i="6"/>
  <c r="AB45" i="6"/>
  <c r="V36" i="6"/>
  <c r="V37" i="6" s="1"/>
  <c r="V38" i="6" s="1"/>
  <c r="U36" i="6"/>
  <c r="U37" i="6" s="1"/>
  <c r="U38" i="6" s="1"/>
  <c r="C18" i="2"/>
  <c r="G6" i="4"/>
  <c r="N15" i="2"/>
  <c r="C14" i="2"/>
  <c r="C16" i="2" s="1"/>
  <c r="Y8" i="2"/>
  <c r="BJ46" i="6"/>
  <c r="BJ45" i="6"/>
  <c r="BJ44" i="6" s="1"/>
  <c r="G18" i="2"/>
  <c r="BD36" i="6"/>
  <c r="BD37" i="6" s="1"/>
  <c r="BD38" i="6" s="1"/>
  <c r="BC36" i="6"/>
  <c r="BC37" i="6" s="1"/>
  <c r="BC38" i="6" s="1"/>
  <c r="I14" i="2"/>
  <c r="I16" i="2" s="1"/>
  <c r="V8" i="2"/>
  <c r="AB8" i="2" s="1"/>
  <c r="N18" i="2"/>
  <c r="BC34" i="6" l="1"/>
  <c r="BD52" i="6" s="1"/>
  <c r="E16" i="2"/>
  <c r="G16" i="2"/>
  <c r="BJ43" i="6"/>
  <c r="BJ42" i="6"/>
  <c r="AS43" i="6"/>
  <c r="AS42" i="6"/>
  <c r="G3" i="4"/>
  <c r="G13" i="4" s="1"/>
  <c r="G10" i="4"/>
  <c r="AI45" i="6"/>
  <c r="AI44" i="6" s="1"/>
  <c r="AH45" i="6"/>
  <c r="AH44" i="6" s="1"/>
  <c r="AG45" i="6"/>
  <c r="AG44" i="6" s="1"/>
  <c r="AF45" i="6"/>
  <c r="AF44" i="6" s="1"/>
  <c r="AE45" i="6"/>
  <c r="AE44" i="6" s="1"/>
  <c r="AC45" i="6"/>
  <c r="AC44" i="6" s="1"/>
  <c r="AD45" i="6"/>
  <c r="AD44" i="6" s="1"/>
  <c r="H10" i="4"/>
  <c r="H7" i="4"/>
  <c r="E7" i="4"/>
  <c r="E10" i="4"/>
  <c r="Q46" i="6"/>
  <c r="P46" i="6"/>
  <c r="O46" i="6"/>
  <c r="L46" i="6"/>
  <c r="K46" i="6"/>
  <c r="N46" i="6"/>
  <c r="M46" i="6"/>
  <c r="C32" i="9"/>
  <c r="B44" i="1"/>
  <c r="T10" i="2"/>
  <c r="T9" i="2"/>
  <c r="S12" i="2" s="1"/>
  <c r="C17" i="2" s="1"/>
  <c r="Z7" i="2"/>
  <c r="K7" i="4"/>
  <c r="K10" i="4"/>
  <c r="U10" i="2"/>
  <c r="U9" i="2"/>
  <c r="AA7" i="2"/>
  <c r="U11" i="2"/>
  <c r="BQ45" i="6"/>
  <c r="BQ44" i="6" s="1"/>
  <c r="BP45" i="6"/>
  <c r="BP44" i="6" s="1"/>
  <c r="BO45" i="6"/>
  <c r="BO44" i="6" s="1"/>
  <c r="BN45" i="6"/>
  <c r="BN44" i="6" s="1"/>
  <c r="BM45" i="6"/>
  <c r="BM44" i="6" s="1"/>
  <c r="BK45" i="6"/>
  <c r="BK44" i="6" s="1"/>
  <c r="BL45" i="6"/>
  <c r="BL44" i="6" s="1"/>
  <c r="AB7" i="2"/>
  <c r="V11" i="2"/>
  <c r="V10" i="2"/>
  <c r="V9" i="2"/>
  <c r="BD17" i="6"/>
  <c r="BC14" i="6"/>
  <c r="F4" i="7"/>
  <c r="D4" i="7"/>
  <c r="E4" i="7"/>
  <c r="V3" i="9"/>
  <c r="I18" i="2"/>
  <c r="BQ46" i="6"/>
  <c r="BP46" i="6"/>
  <c r="BO46" i="6"/>
  <c r="BN46" i="6"/>
  <c r="BM46" i="6"/>
  <c r="BK46" i="6"/>
  <c r="BL46" i="6"/>
  <c r="K2" i="2"/>
  <c r="C34" i="6"/>
  <c r="AL14" i="6"/>
  <c r="AM17" i="6" s="1"/>
  <c r="N7" i="4"/>
  <c r="N10" i="4"/>
  <c r="AA33" i="4"/>
  <c r="Z33" i="4"/>
  <c r="E18" i="2"/>
  <c r="J43" i="6"/>
  <c r="J42" i="6"/>
  <c r="AN24" i="6"/>
  <c r="AN27" i="6" s="1"/>
  <c r="AN30" i="6" s="1"/>
  <c r="AN31" i="6" s="1"/>
  <c r="AN16" i="6"/>
  <c r="BE24" i="6"/>
  <c r="BE27" i="6" s="1"/>
  <c r="BE30" i="6" s="1"/>
  <c r="BE31" i="6" s="1"/>
  <c r="BE16" i="6"/>
  <c r="AZ45" i="6"/>
  <c r="AZ44" i="6" s="1"/>
  <c r="AY45" i="6"/>
  <c r="AY44" i="6" s="1"/>
  <c r="AX45" i="6"/>
  <c r="AX44" i="6" s="1"/>
  <c r="AU45" i="6"/>
  <c r="AU44" i="6" s="1"/>
  <c r="AT45" i="6"/>
  <c r="AT44" i="6" s="1"/>
  <c r="AV45" i="6"/>
  <c r="AV44" i="6" s="1"/>
  <c r="AW45" i="6"/>
  <c r="AW44" i="6" s="1"/>
  <c r="U14" i="6"/>
  <c r="V17" i="6" s="1"/>
  <c r="B9" i="7"/>
  <c r="B11" i="7"/>
  <c r="B13" i="7"/>
  <c r="P3" i="9"/>
  <c r="P8" i="9" s="1"/>
  <c r="C14" i="6"/>
  <c r="D17" i="6" s="1"/>
  <c r="H9" i="7"/>
  <c r="H11" i="7"/>
  <c r="H13" i="7"/>
  <c r="R3" i="9"/>
  <c r="E17" i="7"/>
  <c r="D17" i="7"/>
  <c r="T3" i="9"/>
  <c r="F17" i="7"/>
  <c r="J10" i="4"/>
  <c r="AZ46" i="6"/>
  <c r="AY46" i="6"/>
  <c r="AX46" i="6"/>
  <c r="AU46" i="6"/>
  <c r="AT46" i="6"/>
  <c r="AW46" i="6"/>
  <c r="AV46" i="6"/>
  <c r="W16" i="6"/>
  <c r="W24" i="6"/>
  <c r="W27" i="6" s="1"/>
  <c r="W30" i="6" s="1"/>
  <c r="W31" i="6" s="1"/>
  <c r="AI46" i="6"/>
  <c r="AH46" i="6"/>
  <c r="AG46" i="6"/>
  <c r="AF46" i="6"/>
  <c r="AE46" i="6"/>
  <c r="AC46" i="6"/>
  <c r="AD46" i="6"/>
  <c r="D10" i="4"/>
  <c r="D3" i="4"/>
  <c r="E60" i="4" s="1"/>
  <c r="M10" i="4"/>
  <c r="E16" i="6"/>
  <c r="E24" i="6"/>
  <c r="E27" i="6" s="1"/>
  <c r="E30" i="6" s="1"/>
  <c r="E31" i="6" s="1"/>
  <c r="AL34" i="6"/>
  <c r="AM52" i="6" s="1"/>
  <c r="S10" i="2"/>
  <c r="S9" i="2"/>
  <c r="Y7" i="2"/>
  <c r="S11" i="2"/>
  <c r="Q45" i="6"/>
  <c r="Q44" i="6" s="1"/>
  <c r="P45" i="6"/>
  <c r="P44" i="6" s="1"/>
  <c r="O45" i="6"/>
  <c r="O44" i="6" s="1"/>
  <c r="L45" i="6"/>
  <c r="L44" i="6" s="1"/>
  <c r="K45" i="6"/>
  <c r="K44" i="6" s="1"/>
  <c r="N45" i="6"/>
  <c r="N44" i="6" s="1"/>
  <c r="M45" i="6"/>
  <c r="M44" i="6" s="1"/>
  <c r="AB44" i="6"/>
  <c r="D53" i="6" l="1"/>
  <c r="D52" i="6"/>
  <c r="H60" i="4"/>
  <c r="Q42" i="6"/>
  <c r="Q43" i="6"/>
  <c r="AZ43" i="6"/>
  <c r="AZ42" i="6"/>
  <c r="AB10" i="2"/>
  <c r="AB9" i="2"/>
  <c r="AB11" i="2"/>
  <c r="AG43" i="6"/>
  <c r="AG42" i="6"/>
  <c r="BP42" i="6"/>
  <c r="BP43" i="6"/>
  <c r="BL43" i="6"/>
  <c r="BL42" i="6"/>
  <c r="Z11" i="2"/>
  <c r="Z9" i="2"/>
  <c r="Z10" i="2"/>
  <c r="V19" i="9"/>
  <c r="P10" i="9"/>
  <c r="P11" i="9" s="1"/>
  <c r="D132" i="4"/>
  <c r="E113" i="4"/>
  <c r="AW43" i="6"/>
  <c r="AW42" i="6"/>
  <c r="BK43" i="6"/>
  <c r="BK42" i="6"/>
  <c r="AA10" i="2"/>
  <c r="AA11" i="2"/>
  <c r="AA9" i="2"/>
  <c r="AI43" i="6"/>
  <c r="AI42" i="6"/>
  <c r="T10" i="9"/>
  <c r="T11" i="9" s="1"/>
  <c r="P19" i="9"/>
  <c r="T8" i="9"/>
  <c r="F132" i="4"/>
  <c r="K113" i="4"/>
  <c r="D5" i="4"/>
  <c r="AY43" i="6"/>
  <c r="AY42" i="6"/>
  <c r="BQ43" i="6"/>
  <c r="BQ42" i="6"/>
  <c r="AB42" i="6"/>
  <c r="AB43" i="6"/>
  <c r="Y11" i="2"/>
  <c r="Y10" i="2"/>
  <c r="Y9" i="2"/>
  <c r="T19" i="9"/>
  <c r="R10" i="9"/>
  <c r="R11" i="9" s="1"/>
  <c r="R8" i="9"/>
  <c r="E132" i="4"/>
  <c r="H113" i="4"/>
  <c r="N43" i="6"/>
  <c r="N42" i="6"/>
  <c r="T12" i="2"/>
  <c r="E17" i="2" s="1"/>
  <c r="E21" i="2" s="1"/>
  <c r="D13" i="4"/>
  <c r="AV43" i="6"/>
  <c r="AV42" i="6"/>
  <c r="AA34" i="4"/>
  <c r="Z34" i="4"/>
  <c r="J4" i="2"/>
  <c r="J5" i="2" s="1"/>
  <c r="I4" i="2"/>
  <c r="I5" i="2" s="1"/>
  <c r="H4" i="2"/>
  <c r="H5" i="2" s="1"/>
  <c r="G4" i="2"/>
  <c r="G5" i="2" s="1"/>
  <c r="F4" i="2"/>
  <c r="F5" i="2" s="1"/>
  <c r="E4" i="2"/>
  <c r="E5" i="2" s="1"/>
  <c r="C4" i="2"/>
  <c r="C5" i="2" s="1"/>
  <c r="D4" i="2"/>
  <c r="D5" i="2" s="1"/>
  <c r="BM43" i="6"/>
  <c r="BM42" i="6"/>
  <c r="V12" i="2"/>
  <c r="I21" i="2" s="1"/>
  <c r="U12" i="2"/>
  <c r="G21" i="2" s="1"/>
  <c r="AE43" i="6"/>
  <c r="AE42" i="6"/>
  <c r="AH43" i="6"/>
  <c r="AH42" i="6"/>
  <c r="M43" i="6"/>
  <c r="M42" i="6"/>
  <c r="K43" i="6"/>
  <c r="K42" i="6"/>
  <c r="AT43" i="6"/>
  <c r="AT42" i="6"/>
  <c r="BN43" i="6"/>
  <c r="BN42" i="6"/>
  <c r="AD43" i="6"/>
  <c r="AD42" i="6"/>
  <c r="O43" i="6"/>
  <c r="O42" i="6"/>
  <c r="AX43" i="6"/>
  <c r="AX42" i="6"/>
  <c r="P43" i="6"/>
  <c r="P42" i="6"/>
  <c r="AF43" i="6"/>
  <c r="AF42" i="6"/>
  <c r="L43" i="6"/>
  <c r="L42" i="6"/>
  <c r="AU43" i="6"/>
  <c r="AU42" i="6"/>
  <c r="R19" i="9"/>
  <c r="N113" i="4"/>
  <c r="V10" i="9"/>
  <c r="V11" i="9" s="1"/>
  <c r="V8" i="9"/>
  <c r="G132" i="4"/>
  <c r="BO43" i="6"/>
  <c r="BO42" i="6"/>
  <c r="C33" i="9"/>
  <c r="B45" i="1"/>
  <c r="AC43" i="6"/>
  <c r="AC42" i="6"/>
  <c r="G5" i="4"/>
  <c r="C21" i="2" l="1"/>
  <c r="Z12" i="2"/>
  <c r="E15" i="2" s="1"/>
  <c r="Y12" i="2"/>
  <c r="C15" i="2" s="1"/>
  <c r="AA12" i="2"/>
  <c r="G15" i="2" s="1"/>
  <c r="J9" i="2"/>
  <c r="H27" i="2" s="1"/>
  <c r="I19" i="2"/>
  <c r="AB12" i="2"/>
  <c r="I15" i="2" s="1"/>
  <c r="S11" i="9"/>
  <c r="J36" i="4" s="1"/>
  <c r="K36" i="4"/>
  <c r="L36" i="4" s="1"/>
  <c r="C34" i="9"/>
  <c r="B46" i="1"/>
  <c r="E114" i="4"/>
  <c r="D9" i="4"/>
  <c r="D7" i="4"/>
  <c r="E138" i="4"/>
  <c r="E139" i="4"/>
  <c r="O8" i="9"/>
  <c r="D35" i="4" s="1"/>
  <c r="E35" i="4"/>
  <c r="F35" i="4" s="1"/>
  <c r="D139" i="4"/>
  <c r="H139" i="4" s="1"/>
  <c r="D138" i="4"/>
  <c r="H138" i="4" s="1"/>
  <c r="G139" i="4"/>
  <c r="G138" i="4"/>
  <c r="E19" i="2"/>
  <c r="Q8" i="9"/>
  <c r="G35" i="4" s="1"/>
  <c r="H35" i="4"/>
  <c r="I35" i="4" s="1"/>
  <c r="F138" i="4"/>
  <c r="F139" i="4"/>
  <c r="O11" i="9"/>
  <c r="D36" i="4" s="1"/>
  <c r="E36" i="4"/>
  <c r="F36" i="4" s="1"/>
  <c r="G9" i="4"/>
  <c r="G7" i="4"/>
  <c r="C19" i="2"/>
  <c r="Z35" i="4"/>
  <c r="AA35" i="4"/>
  <c r="U8" i="9"/>
  <c r="M35" i="4" s="1"/>
  <c r="N35" i="4"/>
  <c r="O35" i="4" s="1"/>
  <c r="Q11" i="9"/>
  <c r="G36" i="4" s="1"/>
  <c r="H36" i="4"/>
  <c r="I36" i="4" s="1"/>
  <c r="S8" i="9"/>
  <c r="J35" i="4" s="1"/>
  <c r="K35" i="4"/>
  <c r="L35" i="4" s="1"/>
  <c r="U11" i="9"/>
  <c r="M36" i="4" s="1"/>
  <c r="N36" i="4"/>
  <c r="O36" i="4" s="1"/>
  <c r="G19" i="2"/>
  <c r="O6" i="4" l="1"/>
  <c r="F27" i="2"/>
  <c r="AG2" i="7" s="1"/>
  <c r="AG5" i="7" s="1"/>
  <c r="R11" i="7" s="1"/>
  <c r="J27" i="2"/>
  <c r="E30" i="2" s="1"/>
  <c r="D27" i="2"/>
  <c r="AE2" i="7" s="1"/>
  <c r="AE5" i="7" s="1"/>
  <c r="L11" i="7" s="1"/>
  <c r="C35" i="9"/>
  <c r="B47" i="1"/>
  <c r="I6" i="4"/>
  <c r="O3" i="4"/>
  <c r="F3" i="4"/>
  <c r="F6" i="4"/>
  <c r="L3" i="4"/>
  <c r="L6" i="4"/>
  <c r="I3" i="4"/>
  <c r="L22" i="2"/>
  <c r="AA36" i="4"/>
  <c r="Z36" i="4"/>
  <c r="G26" i="4"/>
  <c r="G15" i="4"/>
  <c r="E15" i="4"/>
  <c r="M22" i="2"/>
  <c r="D26" i="4"/>
  <c r="D15" i="4"/>
  <c r="H15" i="4"/>
  <c r="O22" i="2"/>
  <c r="N22" i="2"/>
  <c r="AI2" i="7"/>
  <c r="AI5" i="7" s="1"/>
  <c r="O17" i="7" s="1"/>
  <c r="K18" i="4"/>
  <c r="E14" i="1"/>
  <c r="V49" i="2"/>
  <c r="V50" i="2" s="1"/>
  <c r="F42" i="2"/>
  <c r="AB42" i="2"/>
  <c r="AF41" i="2"/>
  <c r="Z42" i="2" l="1"/>
  <c r="AH42" i="2"/>
  <c r="U42" i="2" s="1"/>
  <c r="H35" i="2"/>
  <c r="AH41" i="2"/>
  <c r="AK2" i="7"/>
  <c r="AK5" i="7" s="1"/>
  <c r="O4" i="7" s="1"/>
  <c r="Z41" i="2"/>
  <c r="S41" i="2" s="1"/>
  <c r="E18" i="4"/>
  <c r="F19" i="4" s="1"/>
  <c r="O14" i="1"/>
  <c r="P15" i="1" s="1"/>
  <c r="C37" i="2"/>
  <c r="R49" i="2"/>
  <c r="R50" i="2" s="1"/>
  <c r="AB41" i="2"/>
  <c r="T14" i="1"/>
  <c r="U15" i="1" s="1"/>
  <c r="AF42" i="2"/>
  <c r="S42" i="2" s="1"/>
  <c r="J14" i="1"/>
  <c r="K15" i="1" s="1"/>
  <c r="H18" i="4"/>
  <c r="H33" i="4" s="1"/>
  <c r="X49" i="2"/>
  <c r="X50" i="2" s="1"/>
  <c r="T49" i="2"/>
  <c r="T50" i="2" s="1"/>
  <c r="N18" i="4"/>
  <c r="N33" i="4" s="1"/>
  <c r="C36" i="9"/>
  <c r="B48" i="1"/>
  <c r="E16" i="1"/>
  <c r="F16" i="1" s="1"/>
  <c r="F15" i="1"/>
  <c r="M3" i="4"/>
  <c r="O5" i="4"/>
  <c r="O8" i="4" s="1"/>
  <c r="N9" i="4"/>
  <c r="I22" i="2"/>
  <c r="O23" i="2"/>
  <c r="K33" i="4"/>
  <c r="L19" i="4"/>
  <c r="J3" i="4"/>
  <c r="C22" i="2"/>
  <c r="L23" i="2"/>
  <c r="E22" i="2"/>
  <c r="M23" i="2"/>
  <c r="H9" i="4"/>
  <c r="I5" i="4"/>
  <c r="I8" i="4" s="1"/>
  <c r="D100" i="4"/>
  <c r="G102" i="4"/>
  <c r="G22" i="2"/>
  <c r="N23" i="2"/>
  <c r="L5" i="4"/>
  <c r="L8" i="4" s="1"/>
  <c r="K9" i="4"/>
  <c r="F5" i="4"/>
  <c r="F8" i="4" s="1"/>
  <c r="F9" i="4" s="1"/>
  <c r="E9" i="4"/>
  <c r="G100" i="4"/>
  <c r="D102" i="4"/>
  <c r="I19" i="4"/>
  <c r="O16" i="1" l="1"/>
  <c r="P16" i="1" s="1"/>
  <c r="U41" i="2"/>
  <c r="E33" i="4"/>
  <c r="J16" i="1"/>
  <c r="K16" i="1" s="1"/>
  <c r="T16" i="1"/>
  <c r="U16" i="1" s="1"/>
  <c r="P3" i="4"/>
  <c r="P125" i="4" s="1"/>
  <c r="O19" i="4"/>
  <c r="H59" i="4"/>
  <c r="H64" i="4" s="1"/>
  <c r="H68" i="4" s="1"/>
  <c r="H57" i="4"/>
  <c r="H58" i="4"/>
  <c r="H63" i="4" s="1"/>
  <c r="H67" i="4" s="1"/>
  <c r="W27" i="2"/>
  <c r="W37" i="2" s="1"/>
  <c r="R46" i="2" s="1"/>
  <c r="V14" i="6"/>
  <c r="V16" i="6" s="1"/>
  <c r="G16" i="4" s="1"/>
  <c r="Z33" i="2"/>
  <c r="Z37" i="2" s="1"/>
  <c r="U46" i="2" s="1"/>
  <c r="Y29" i="2"/>
  <c r="X26" i="2"/>
  <c r="X36" i="2" s="1"/>
  <c r="S45" i="2" s="1"/>
  <c r="E23" i="2"/>
  <c r="X33" i="2"/>
  <c r="W29" i="2"/>
  <c r="W26" i="2"/>
  <c r="Y32" i="2"/>
  <c r="E28" i="2"/>
  <c r="Y27" i="2"/>
  <c r="U24" i="6"/>
  <c r="U27" i="6" s="1"/>
  <c r="U30" i="6" s="1"/>
  <c r="U31" i="6" s="1"/>
  <c r="Y30" i="2"/>
  <c r="V24" i="6"/>
  <c r="V27" i="6" s="1"/>
  <c r="V30" i="6" s="1"/>
  <c r="V31" i="6" s="1"/>
  <c r="E27" i="2"/>
  <c r="X30" i="2"/>
  <c r="W32" i="2"/>
  <c r="K149" i="4"/>
  <c r="W65" i="4"/>
  <c r="K150" i="4"/>
  <c r="L83" i="7"/>
  <c r="W35" i="4"/>
  <c r="L33" i="4"/>
  <c r="J83" i="7"/>
  <c r="H150" i="4"/>
  <c r="U65" i="4"/>
  <c r="H149" i="4"/>
  <c r="I33" i="4"/>
  <c r="U35" i="4"/>
  <c r="E59" i="4"/>
  <c r="E64" i="4" s="1"/>
  <c r="E68" i="4" s="1"/>
  <c r="E58" i="4"/>
  <c r="E63" i="4" s="1"/>
  <c r="E67" i="4" s="1"/>
  <c r="E57" i="4"/>
  <c r="C24" i="6"/>
  <c r="C27" i="6" s="1"/>
  <c r="C30" i="6" s="1"/>
  <c r="C31" i="6" s="1"/>
  <c r="C27" i="2"/>
  <c r="C23" i="2"/>
  <c r="E49" i="6"/>
  <c r="D14" i="6"/>
  <c r="D16" i="6" s="1"/>
  <c r="D16" i="4" s="1"/>
  <c r="E52" i="6"/>
  <c r="C28" i="2"/>
  <c r="D24" i="6"/>
  <c r="D27" i="6" s="1"/>
  <c r="D30" i="6" s="1"/>
  <c r="D31" i="6" s="1"/>
  <c r="I9" i="4"/>
  <c r="N59" i="4"/>
  <c r="N64" i="4" s="1"/>
  <c r="N68" i="4" s="1"/>
  <c r="N58" i="4"/>
  <c r="N63" i="4" s="1"/>
  <c r="N67" i="4" s="1"/>
  <c r="N57" i="4"/>
  <c r="BE52" i="6"/>
  <c r="I27" i="2"/>
  <c r="I28" i="2"/>
  <c r="BE49" i="6"/>
  <c r="BD24" i="6"/>
  <c r="BD27" i="6" s="1"/>
  <c r="BD30" i="6" s="1"/>
  <c r="BD31" i="6" s="1"/>
  <c r="BC24" i="6"/>
  <c r="BC27" i="6" s="1"/>
  <c r="BC30" i="6" s="1"/>
  <c r="BC31" i="6" s="1"/>
  <c r="I23" i="2"/>
  <c r="BD14" i="6"/>
  <c r="BD16" i="6" s="1"/>
  <c r="M16" i="4" s="1"/>
  <c r="J100" i="4"/>
  <c r="M102" i="4"/>
  <c r="M5" i="4"/>
  <c r="M13" i="4"/>
  <c r="N60" i="4"/>
  <c r="L9" i="4"/>
  <c r="M100" i="4"/>
  <c r="J102" i="4"/>
  <c r="J5" i="4"/>
  <c r="K60" i="4"/>
  <c r="J13" i="4"/>
  <c r="H83" i="7"/>
  <c r="E150" i="4"/>
  <c r="E149" i="4"/>
  <c r="F33" i="4"/>
  <c r="S65" i="4"/>
  <c r="S35" i="4"/>
  <c r="N83" i="7"/>
  <c r="N150" i="4"/>
  <c r="N149" i="4"/>
  <c r="Y35" i="4"/>
  <c r="O33" i="4"/>
  <c r="Y65" i="4"/>
  <c r="O9" i="4"/>
  <c r="K58" i="4"/>
  <c r="K63" i="4" s="1"/>
  <c r="K67" i="4" s="1"/>
  <c r="K59" i="4"/>
  <c r="K64" i="4" s="1"/>
  <c r="K68" i="4" s="1"/>
  <c r="G23" i="2"/>
  <c r="AM24" i="6"/>
  <c r="AM27" i="6" s="1"/>
  <c r="AM30" i="6" s="1"/>
  <c r="AM31" i="6" s="1"/>
  <c r="AL24" i="6"/>
  <c r="AL27" i="6" s="1"/>
  <c r="AL30" i="6" s="1"/>
  <c r="AL31" i="6" s="1"/>
  <c r="AN52" i="6"/>
  <c r="G28" i="2"/>
  <c r="K57" i="4"/>
  <c r="AN49" i="6"/>
  <c r="AM14" i="6"/>
  <c r="AM16" i="6" s="1"/>
  <c r="J16" i="4" s="1"/>
  <c r="G27" i="2"/>
  <c r="C37" i="9"/>
  <c r="B49" i="1"/>
  <c r="K16" i="4" l="1"/>
  <c r="E42" i="2"/>
  <c r="N91" i="7"/>
  <c r="D14" i="4"/>
  <c r="H91" i="7"/>
  <c r="E16" i="4"/>
  <c r="AU11" i="4" s="1"/>
  <c r="Y37" i="2"/>
  <c r="T46" i="2" s="1"/>
  <c r="Y36" i="2"/>
  <c r="T45" i="2" s="1"/>
  <c r="H16" i="4"/>
  <c r="X37" i="2"/>
  <c r="S46" i="2" s="1"/>
  <c r="AH3" i="7"/>
  <c r="D15" i="1"/>
  <c r="J19" i="4"/>
  <c r="AD2" i="7"/>
  <c r="C35" i="2"/>
  <c r="Q49" i="2"/>
  <c r="Q50" i="2" s="1"/>
  <c r="D18" i="4"/>
  <c r="N14" i="1"/>
  <c r="AG42" i="2"/>
  <c r="Y42" i="2"/>
  <c r="K158" i="4"/>
  <c r="D9" i="14" s="1"/>
  <c r="K155" i="4"/>
  <c r="A9" i="14" s="1"/>
  <c r="K156" i="4"/>
  <c r="B9" i="14" s="1"/>
  <c r="K152" i="4"/>
  <c r="K159" i="4" s="1"/>
  <c r="E9" i="14" s="1"/>
  <c r="AU28" i="4"/>
  <c r="N4" i="7"/>
  <c r="O150" i="4"/>
  <c r="O149" i="4"/>
  <c r="AJ3" i="7"/>
  <c r="M19" i="4"/>
  <c r="I15" i="1"/>
  <c r="E62" i="4"/>
  <c r="E66" i="4" s="1"/>
  <c r="H156" i="4"/>
  <c r="B6" i="14" s="1"/>
  <c r="H152" i="4"/>
  <c r="H159" i="4" s="1"/>
  <c r="E6" i="14" s="1"/>
  <c r="H155" i="4"/>
  <c r="A6" i="14" s="1"/>
  <c r="H158" i="4"/>
  <c r="D6" i="14" s="1"/>
  <c r="AF3" i="7"/>
  <c r="G19" i="4"/>
  <c r="S15" i="1"/>
  <c r="C38" i="9"/>
  <c r="B50" i="1"/>
  <c r="J9" i="4"/>
  <c r="J7" i="4"/>
  <c r="AJ2" i="7"/>
  <c r="M18" i="4"/>
  <c r="W49" i="2"/>
  <c r="W50" i="2" s="1"/>
  <c r="F30" i="2"/>
  <c r="I14" i="1"/>
  <c r="AA42" i="2"/>
  <c r="AE41" i="2"/>
  <c r="AD3" i="7"/>
  <c r="D19" i="4"/>
  <c r="N15" i="1"/>
  <c r="AV10" i="4"/>
  <c r="AU7" i="4"/>
  <c r="AU9" i="4"/>
  <c r="AH2" i="7"/>
  <c r="J18" i="4"/>
  <c r="D14" i="1"/>
  <c r="U49" i="2"/>
  <c r="U50" i="2" s="1"/>
  <c r="AA41" i="2"/>
  <c r="AE42" i="2"/>
  <c r="J151" i="4"/>
  <c r="AC13" i="4"/>
  <c r="AC15" i="4" s="1"/>
  <c r="L13" i="7"/>
  <c r="F150" i="4"/>
  <c r="F149" i="4"/>
  <c r="W36" i="2"/>
  <c r="AV26" i="4"/>
  <c r="AU27" i="4"/>
  <c r="AU25" i="4"/>
  <c r="AU26" i="4"/>
  <c r="AV27" i="4"/>
  <c r="AU24" i="4"/>
  <c r="N62" i="4"/>
  <c r="N66" i="4" s="1"/>
  <c r="M14" i="4"/>
  <c r="AU8" i="4"/>
  <c r="AU10" i="4"/>
  <c r="AV9" i="4"/>
  <c r="P17" i="7"/>
  <c r="L149" i="4"/>
  <c r="L150" i="4"/>
  <c r="AF2" i="7"/>
  <c r="S49" i="2"/>
  <c r="S50" i="2" s="1"/>
  <c r="G18" i="4"/>
  <c r="H37" i="2"/>
  <c r="S14" i="1"/>
  <c r="S16" i="1" s="1"/>
  <c r="AG41" i="2"/>
  <c r="Y41" i="2"/>
  <c r="N156" i="4"/>
  <c r="B12" i="14" s="1"/>
  <c r="N152" i="4"/>
  <c r="N159" i="4" s="1"/>
  <c r="E12" i="14" s="1"/>
  <c r="N158" i="4"/>
  <c r="D12" i="14" s="1"/>
  <c r="N155" i="4"/>
  <c r="A12" i="14" s="1"/>
  <c r="E156" i="4"/>
  <c r="B3" i="14" s="1"/>
  <c r="E152" i="4"/>
  <c r="E159" i="4" s="1"/>
  <c r="E3" i="14" s="1"/>
  <c r="E158" i="4"/>
  <c r="D3" i="14" s="1"/>
  <c r="E155" i="4"/>
  <c r="A3" i="14" s="1"/>
  <c r="M9" i="4"/>
  <c r="M7" i="4"/>
  <c r="M151" i="4"/>
  <c r="AD13" i="4"/>
  <c r="AD15" i="4" s="1"/>
  <c r="AD17" i="4" s="1"/>
  <c r="R9" i="7"/>
  <c r="I149" i="4"/>
  <c r="I150" i="4"/>
  <c r="H62" i="4"/>
  <c r="H66" i="4" s="1"/>
  <c r="G14" i="4"/>
  <c r="K62" i="4"/>
  <c r="K66" i="4" s="1"/>
  <c r="J14" i="4"/>
  <c r="J91" i="7"/>
  <c r="L91" i="7"/>
  <c r="N16" i="4"/>
  <c r="D151" i="4"/>
  <c r="AA13" i="4"/>
  <c r="AA15" i="4" s="1"/>
  <c r="G151" i="4"/>
  <c r="AB13" i="4"/>
  <c r="AB15" i="4" s="1"/>
  <c r="AB17" i="4" s="1"/>
  <c r="N16" i="1" l="1"/>
  <c r="AW26" i="4"/>
  <c r="D16" i="1"/>
  <c r="AW9" i="4"/>
  <c r="AW10" i="4"/>
  <c r="AJ5" i="7"/>
  <c r="P4" i="7" s="1"/>
  <c r="AU4" i="4"/>
  <c r="AU6" i="4"/>
  <c r="AU5" i="4"/>
  <c r="AV8" i="4"/>
  <c r="AV11" i="4"/>
  <c r="T42" i="2"/>
  <c r="R41" i="2"/>
  <c r="AH5" i="7"/>
  <c r="N17" i="7" s="1"/>
  <c r="AV7" i="4"/>
  <c r="T41" i="2"/>
  <c r="AF5" i="7"/>
  <c r="R13" i="7" s="1"/>
  <c r="C39" i="9"/>
  <c r="B51" i="1"/>
  <c r="M98" i="4"/>
  <c r="M66" i="4"/>
  <c r="I25" i="1"/>
  <c r="D98" i="4"/>
  <c r="D66" i="4"/>
  <c r="N25" i="1"/>
  <c r="AU21" i="4"/>
  <c r="E26" i="4"/>
  <c r="E27" i="4" s="1"/>
  <c r="D27" i="4"/>
  <c r="D33" i="4"/>
  <c r="J66" i="4"/>
  <c r="J98" i="4"/>
  <c r="D25" i="1"/>
  <c r="R45" i="2"/>
  <c r="V41" i="2"/>
  <c r="V45" i="2"/>
  <c r="M33" i="4"/>
  <c r="AU22" i="4"/>
  <c r="L158" i="4"/>
  <c r="D10" i="14" s="1"/>
  <c r="L155" i="4"/>
  <c r="A10" i="14" s="1"/>
  <c r="L152" i="4"/>
  <c r="L159" i="4" s="1"/>
  <c r="E10" i="14" s="1"/>
  <c r="L156" i="4"/>
  <c r="B10" i="14" s="1"/>
  <c r="AV25" i="4"/>
  <c r="M15" i="4"/>
  <c r="M26" i="4"/>
  <c r="N26" i="4" s="1"/>
  <c r="N27" i="4" s="1"/>
  <c r="K15" i="4"/>
  <c r="F156" i="4"/>
  <c r="B4" i="14" s="1"/>
  <c r="F152" i="4"/>
  <c r="F159" i="4" s="1"/>
  <c r="E4" i="14" s="1"/>
  <c r="F158" i="4"/>
  <c r="D4" i="14" s="1"/>
  <c r="F155" i="4"/>
  <c r="A4" i="14" s="1"/>
  <c r="J26" i="4"/>
  <c r="K26" i="4" s="1"/>
  <c r="K27" i="4" s="1"/>
  <c r="J15" i="4"/>
  <c r="N15" i="4"/>
  <c r="AD5" i="7"/>
  <c r="L9" i="7" s="1"/>
  <c r="H26" i="4"/>
  <c r="H27" i="4" s="1"/>
  <c r="G27" i="4"/>
  <c r="G33" i="4"/>
  <c r="AB16" i="4"/>
  <c r="AB18" i="4" s="1"/>
  <c r="AA16" i="4"/>
  <c r="AA17" i="4"/>
  <c r="G98" i="4"/>
  <c r="G66" i="4"/>
  <c r="S25" i="1"/>
  <c r="J33" i="4"/>
  <c r="P9" i="4"/>
  <c r="AU23" i="4"/>
  <c r="AD16" i="4"/>
  <c r="AD18" i="4" s="1"/>
  <c r="AC16" i="4"/>
  <c r="AC17" i="4"/>
  <c r="R42" i="2"/>
  <c r="AV28" i="4"/>
  <c r="AW27" i="4"/>
  <c r="AV24" i="4"/>
  <c r="I158" i="4"/>
  <c r="D7" i="14" s="1"/>
  <c r="I155" i="4"/>
  <c r="A7" i="14" s="1"/>
  <c r="I156" i="4"/>
  <c r="B7" i="14" s="1"/>
  <c r="I152" i="4"/>
  <c r="I159" i="4" s="1"/>
  <c r="E7" i="14" s="1"/>
  <c r="I16" i="1"/>
  <c r="O156" i="4"/>
  <c r="B13" i="14" s="1"/>
  <c r="O152" i="4"/>
  <c r="O159" i="4" s="1"/>
  <c r="E13" i="14" s="1"/>
  <c r="O158" i="4"/>
  <c r="D13" i="14" s="1"/>
  <c r="O155" i="4"/>
  <c r="A13" i="14" s="1"/>
  <c r="M27" i="4" l="1"/>
  <c r="J27" i="4"/>
  <c r="AC18" i="4"/>
  <c r="AC19" i="4" s="1"/>
  <c r="AC20" i="4" s="1"/>
  <c r="AC21" i="4" s="1"/>
  <c r="AJ30" i="4" s="1"/>
  <c r="L36" i="2"/>
  <c r="P15" i="4"/>
  <c r="AA18" i="4"/>
  <c r="AA19" i="4" s="1"/>
  <c r="AA20" i="4" s="1"/>
  <c r="AA21" i="4" s="1"/>
  <c r="AJ14" i="4" s="1"/>
  <c r="AK15" i="4" s="1"/>
  <c r="M37" i="2"/>
  <c r="O36" i="2"/>
  <c r="L37" i="2"/>
  <c r="N36" i="2"/>
  <c r="M36" i="2"/>
  <c r="N35" i="2"/>
  <c r="N53" i="2"/>
  <c r="M35" i="2"/>
  <c r="M53" i="2"/>
  <c r="O37" i="2"/>
  <c r="L35" i="2"/>
  <c r="L53" i="2"/>
  <c r="N37" i="2"/>
  <c r="M48" i="2"/>
  <c r="L48" i="2"/>
  <c r="N48" i="2"/>
  <c r="M83" i="7"/>
  <c r="M150" i="4"/>
  <c r="M149" i="4"/>
  <c r="X65" i="4"/>
  <c r="X35" i="4"/>
  <c r="G83" i="7"/>
  <c r="R65" i="4"/>
  <c r="D149" i="4"/>
  <c r="D150" i="4"/>
  <c r="R35" i="4"/>
  <c r="K83" i="7"/>
  <c r="J149" i="4"/>
  <c r="V65" i="4"/>
  <c r="J150" i="4"/>
  <c r="V35" i="4"/>
  <c r="I83" i="7"/>
  <c r="G150" i="4"/>
  <c r="G149" i="4"/>
  <c r="T65" i="4"/>
  <c r="T35" i="4"/>
  <c r="C40" i="9"/>
  <c r="B52" i="1"/>
  <c r="L92" i="7" l="1"/>
  <c r="J92" i="7"/>
  <c r="H92" i="7"/>
  <c r="N92" i="7"/>
  <c r="AK33" i="4"/>
  <c r="AM31" i="4"/>
  <c r="AK31" i="4"/>
  <c r="AL32" i="4"/>
  <c r="AS35" i="4" s="1"/>
  <c r="AM32" i="4"/>
  <c r="AT35" i="4" s="1"/>
  <c r="AL31" i="4"/>
  <c r="AL33" i="4"/>
  <c r="AM33" i="4"/>
  <c r="AK32" i="4"/>
  <c r="AR35" i="4" s="1"/>
  <c r="I91" i="7"/>
  <c r="I92" i="7" s="1"/>
  <c r="AL15" i="4"/>
  <c r="AK17" i="4"/>
  <c r="AM15" i="4"/>
  <c r="AL17" i="4"/>
  <c r="AK16" i="4"/>
  <c r="AR33" i="4" s="1"/>
  <c r="AL16" i="4"/>
  <c r="AS33" i="4" s="1"/>
  <c r="AM16" i="4"/>
  <c r="AT33" i="4" s="1"/>
  <c r="AM17" i="4"/>
  <c r="J158" i="4"/>
  <c r="D8" i="14" s="1"/>
  <c r="J155" i="4"/>
  <c r="A8" i="14" s="1"/>
  <c r="J156" i="4"/>
  <c r="B8" i="14" s="1"/>
  <c r="J152" i="4"/>
  <c r="J159" i="4" s="1"/>
  <c r="E8" i="14" s="1"/>
  <c r="M40" i="2"/>
  <c r="E48" i="2"/>
  <c r="T28" i="4"/>
  <c r="E82" i="4" s="1"/>
  <c r="T30" i="4"/>
  <c r="E50" i="2"/>
  <c r="S53" i="2"/>
  <c r="S56" i="2" s="1"/>
  <c r="M42" i="2" s="1"/>
  <c r="I4" i="9" s="1"/>
  <c r="G91" i="7"/>
  <c r="G92" i="7" s="1"/>
  <c r="M156" i="4"/>
  <c r="B11" i="14" s="1"/>
  <c r="M152" i="4"/>
  <c r="M159" i="4" s="1"/>
  <c r="E11" i="14" s="1"/>
  <c r="M158" i="4"/>
  <c r="D11" i="14" s="1"/>
  <c r="M155" i="4"/>
  <c r="A11" i="14" s="1"/>
  <c r="S30" i="4"/>
  <c r="D50" i="2"/>
  <c r="R53" i="2"/>
  <c r="R56" i="2" s="1"/>
  <c r="L42" i="2" s="1"/>
  <c r="H4" i="9" s="1"/>
  <c r="F48" i="2"/>
  <c r="U28" i="4"/>
  <c r="G82" i="4" s="1"/>
  <c r="N40" i="2"/>
  <c r="G50" i="2"/>
  <c r="U53" i="2"/>
  <c r="U56" i="2" s="1"/>
  <c r="O42" i="2" s="1"/>
  <c r="K4" i="9" s="1"/>
  <c r="V30" i="4"/>
  <c r="V29" i="4"/>
  <c r="U52" i="2"/>
  <c r="U55" i="2" s="1"/>
  <c r="O41" i="2" s="1"/>
  <c r="G4" i="9" s="1"/>
  <c r="G49" i="2"/>
  <c r="M91" i="7"/>
  <c r="M92" i="7" s="1"/>
  <c r="K91" i="7"/>
  <c r="K92" i="7" s="1"/>
  <c r="F50" i="2"/>
  <c r="T53" i="2"/>
  <c r="T56" i="2" s="1"/>
  <c r="N42" i="2" s="1"/>
  <c r="J4" i="9" s="1"/>
  <c r="U30" i="4"/>
  <c r="S29" i="4"/>
  <c r="R52" i="2"/>
  <c r="R55" i="2" s="1"/>
  <c r="L41" i="2" s="1"/>
  <c r="D4" i="9" s="1"/>
  <c r="D49" i="2"/>
  <c r="C41" i="9"/>
  <c r="B53" i="1"/>
  <c r="T29" i="4"/>
  <c r="S52" i="2"/>
  <c r="S55" i="2" s="1"/>
  <c r="M41" i="2" s="1"/>
  <c r="E4" i="9" s="1"/>
  <c r="E49" i="2"/>
  <c r="G156" i="4"/>
  <c r="B5" i="14" s="1"/>
  <c r="G152" i="4"/>
  <c r="G159" i="4" s="1"/>
  <c r="E5" i="14" s="1"/>
  <c r="G158" i="4"/>
  <c r="D5" i="14" s="1"/>
  <c r="G155" i="4"/>
  <c r="A5" i="14" s="1"/>
  <c r="D158" i="4"/>
  <c r="D2" i="14" s="1"/>
  <c r="D155" i="4"/>
  <c r="A2" i="14" s="1"/>
  <c r="D152" i="4"/>
  <c r="D159" i="4" s="1"/>
  <c r="E2" i="14" s="1"/>
  <c r="D156" i="4"/>
  <c r="B2" i="14" s="1"/>
  <c r="L40" i="2"/>
  <c r="D48" i="2"/>
  <c r="S28" i="4"/>
  <c r="D82" i="4" s="1"/>
  <c r="T52" i="2"/>
  <c r="T55" i="2" s="1"/>
  <c r="N41" i="2" s="1"/>
  <c r="F4" i="9" s="1"/>
  <c r="F49" i="2"/>
  <c r="U29" i="4"/>
  <c r="N94" i="7" l="1"/>
  <c r="N93" i="7"/>
  <c r="J67" i="1" s="1"/>
  <c r="H94" i="7"/>
  <c r="H93" i="7"/>
  <c r="D67" i="1" s="1"/>
  <c r="J94" i="7"/>
  <c r="J93" i="7"/>
  <c r="F67" i="1" s="1"/>
  <c r="L93" i="7"/>
  <c r="H67" i="1" s="1"/>
  <c r="L94" i="7"/>
  <c r="I93" i="7"/>
  <c r="E67" i="1" s="1"/>
  <c r="I94" i="7"/>
  <c r="BC45" i="4"/>
  <c r="BA45" i="4"/>
  <c r="BB45" i="4"/>
  <c r="P17" i="4"/>
  <c r="D23" i="4"/>
  <c r="V18" i="9"/>
  <c r="K6" i="9"/>
  <c r="D46" i="9"/>
  <c r="D50" i="9"/>
  <c r="C63" i="1" s="1"/>
  <c r="D18" i="9"/>
  <c r="D43" i="9" s="1"/>
  <c r="D11" i="9"/>
  <c r="D31" i="9" s="1"/>
  <c r="D6" i="9"/>
  <c r="D17" i="9" s="1"/>
  <c r="D33" i="9" s="1"/>
  <c r="C46" i="1" s="1"/>
  <c r="H50" i="9"/>
  <c r="G63" i="1" s="1"/>
  <c r="H46" i="9"/>
  <c r="H18" i="9"/>
  <c r="H43" i="9" s="1"/>
  <c r="H11" i="9"/>
  <c r="H31" i="9" s="1"/>
  <c r="H6" i="9"/>
  <c r="H17" i="9" s="1"/>
  <c r="H33" i="9" s="1"/>
  <c r="G46" i="1" s="1"/>
  <c r="I6" i="9"/>
  <c r="I5" i="9" s="1"/>
  <c r="I11" i="9" s="1"/>
  <c r="I31" i="9" s="1"/>
  <c r="T18" i="9"/>
  <c r="J18" i="9"/>
  <c r="J43" i="9" s="1"/>
  <c r="J11" i="9"/>
  <c r="J31" i="9" s="1"/>
  <c r="J6" i="9"/>
  <c r="J17" i="9" s="1"/>
  <c r="J33" i="9" s="1"/>
  <c r="I46" i="1" s="1"/>
  <c r="Y63" i="4"/>
  <c r="V42" i="4"/>
  <c r="V32" i="4"/>
  <c r="C42" i="9"/>
  <c r="B54" i="1"/>
  <c r="V63" i="4"/>
  <c r="S32" i="4"/>
  <c r="S42" i="4"/>
  <c r="F11" i="9"/>
  <c r="F31" i="9" s="1"/>
  <c r="F6" i="9"/>
  <c r="F16" i="9" s="1"/>
  <c r="F36" i="9" s="1"/>
  <c r="E49" i="1" s="1"/>
  <c r="F18" i="9"/>
  <c r="F43" i="9" s="1"/>
  <c r="K99" i="7"/>
  <c r="K97" i="7"/>
  <c r="K95" i="7"/>
  <c r="K93" i="7"/>
  <c r="G67" i="1" s="1"/>
  <c r="K98" i="7"/>
  <c r="K96" i="7"/>
  <c r="K94" i="7"/>
  <c r="G99" i="7"/>
  <c r="G98" i="7"/>
  <c r="G97" i="7"/>
  <c r="G96" i="7"/>
  <c r="G95" i="7"/>
  <c r="G94" i="7"/>
  <c r="G93" i="7"/>
  <c r="C67" i="1" s="1"/>
  <c r="M94" i="7"/>
  <c r="M93" i="7"/>
  <c r="I67" i="1" s="1"/>
  <c r="T63" i="4"/>
  <c r="U31" i="4"/>
  <c r="U41" i="4"/>
  <c r="S63" i="4"/>
  <c r="T41" i="4"/>
  <c r="T31" i="4"/>
  <c r="R18" i="9"/>
  <c r="G6" i="9"/>
  <c r="G17" i="9" s="1"/>
  <c r="G33" i="9" s="1"/>
  <c r="F46" i="1" s="1"/>
  <c r="R63" i="4"/>
  <c r="S31" i="4"/>
  <c r="S41" i="4"/>
  <c r="U32" i="4"/>
  <c r="X63" i="4"/>
  <c r="U42" i="4"/>
  <c r="W63" i="4"/>
  <c r="T42" i="4"/>
  <c r="T32" i="4"/>
  <c r="P18" i="9"/>
  <c r="E6" i="9"/>
  <c r="U63" i="4"/>
  <c r="V41" i="4"/>
  <c r="V31" i="4"/>
  <c r="H69" i="1" l="1"/>
  <c r="H77" i="1" s="1"/>
  <c r="H71" i="1" s="1"/>
  <c r="J69" i="1"/>
  <c r="J77" i="1" s="1"/>
  <c r="J71" i="1" s="1"/>
  <c r="D69" i="1"/>
  <c r="D77" i="1" s="1"/>
  <c r="D71" i="1" s="1"/>
  <c r="F69" i="1"/>
  <c r="F77" i="1" s="1"/>
  <c r="F71" i="1" s="1"/>
  <c r="E69" i="1"/>
  <c r="E70" i="1" s="1"/>
  <c r="F17" i="9"/>
  <c r="F33" i="9" s="1"/>
  <c r="E46" i="1" s="1"/>
  <c r="J16" i="9"/>
  <c r="J36" i="9" s="1"/>
  <c r="I49" i="1" s="1"/>
  <c r="V69" i="4"/>
  <c r="X69" i="4"/>
  <c r="W23" i="4"/>
  <c r="AC24" i="4" s="1"/>
  <c r="AD24" i="4" s="1"/>
  <c r="D24" i="4"/>
  <c r="I17" i="9"/>
  <c r="I33" i="9" s="1"/>
  <c r="H46" i="1" s="1"/>
  <c r="G16" i="9"/>
  <c r="G36" i="9" s="1"/>
  <c r="F49" i="1" s="1"/>
  <c r="Z44" i="4"/>
  <c r="C56" i="1"/>
  <c r="E7" i="9"/>
  <c r="E8" i="9"/>
  <c r="E9" i="9"/>
  <c r="Z45" i="4"/>
  <c r="G56" i="1"/>
  <c r="D16" i="9"/>
  <c r="D36" i="9" s="1"/>
  <c r="C49" i="1" s="1"/>
  <c r="K16" i="9"/>
  <c r="K36" i="9" s="1"/>
  <c r="J49" i="1" s="1"/>
  <c r="E5" i="9"/>
  <c r="E11" i="9" s="1"/>
  <c r="E31" i="9" s="1"/>
  <c r="W69" i="4"/>
  <c r="S69" i="4"/>
  <c r="U69" i="4"/>
  <c r="Y69" i="4"/>
  <c r="T69" i="4"/>
  <c r="R69" i="4"/>
  <c r="C71" i="1"/>
  <c r="C72" i="1" s="1"/>
  <c r="C69" i="1"/>
  <c r="H70" i="1"/>
  <c r="L49" i="2"/>
  <c r="K60" i="2" s="1"/>
  <c r="C59" i="1"/>
  <c r="C73" i="1" s="1"/>
  <c r="I69" i="1"/>
  <c r="K9" i="9"/>
  <c r="K7" i="9"/>
  <c r="K8" i="9"/>
  <c r="G71" i="1"/>
  <c r="G72" i="1" s="1"/>
  <c r="G69" i="1"/>
  <c r="F7" i="9"/>
  <c r="F8" i="9"/>
  <c r="J8" i="9"/>
  <c r="J7" i="9"/>
  <c r="H16" i="9"/>
  <c r="H36" i="9" s="1"/>
  <c r="G49" i="1" s="1"/>
  <c r="AB44" i="4"/>
  <c r="E56" i="1"/>
  <c r="E16" i="9"/>
  <c r="E36" i="9" s="1"/>
  <c r="D49" i="1" s="1"/>
  <c r="G8" i="9"/>
  <c r="G9" i="9"/>
  <c r="G7" i="9"/>
  <c r="C43" i="9"/>
  <c r="B55" i="1"/>
  <c r="I8" i="9"/>
  <c r="I9" i="9"/>
  <c r="I7" i="9"/>
  <c r="I16" i="9"/>
  <c r="I36" i="9" s="1"/>
  <c r="H49" i="1" s="1"/>
  <c r="K17" i="9"/>
  <c r="K33" i="9" s="1"/>
  <c r="J46" i="1" s="1"/>
  <c r="L50" i="2"/>
  <c r="K61" i="2" s="1"/>
  <c r="G59" i="1"/>
  <c r="G73" i="1" s="1"/>
  <c r="E17" i="9"/>
  <c r="E33" i="9" s="1"/>
  <c r="D46" i="1" s="1"/>
  <c r="G5" i="9"/>
  <c r="G11" i="9" s="1"/>
  <c r="G31" i="9" s="1"/>
  <c r="H8" i="9"/>
  <c r="H7" i="9"/>
  <c r="D7" i="9"/>
  <c r="D8" i="9"/>
  <c r="AB45" i="4"/>
  <c r="I56" i="1"/>
  <c r="K5" i="9"/>
  <c r="K11" i="9" s="1"/>
  <c r="K31" i="9" s="1"/>
  <c r="D70" i="1" l="1"/>
  <c r="F70" i="1"/>
  <c r="J70" i="1"/>
  <c r="E68" i="1" s="1"/>
  <c r="E76" i="1"/>
  <c r="E77" i="1" s="1"/>
  <c r="E71" i="1" s="1"/>
  <c r="G74" i="1"/>
  <c r="H37" i="9"/>
  <c r="G50" i="1" s="1"/>
  <c r="H56" i="9"/>
  <c r="Y36" i="9" s="1"/>
  <c r="AE36" i="9" s="1"/>
  <c r="G56" i="9"/>
  <c r="Y37" i="9" s="1"/>
  <c r="AE37" i="9" s="1"/>
  <c r="G37" i="9"/>
  <c r="F50" i="1" s="1"/>
  <c r="E39" i="9"/>
  <c r="D52" i="1" s="1"/>
  <c r="E40" i="9"/>
  <c r="E10" i="9"/>
  <c r="E41" i="9" s="1"/>
  <c r="D54" i="1" s="1"/>
  <c r="H38" i="9"/>
  <c r="G51" i="1" s="1"/>
  <c r="H57" i="9"/>
  <c r="AA36" i="9" s="1"/>
  <c r="G39" i="9"/>
  <c r="F52" i="1" s="1"/>
  <c r="G40" i="9"/>
  <c r="G10" i="9"/>
  <c r="G41" i="9" s="1"/>
  <c r="F54" i="1" s="1"/>
  <c r="K38" i="9"/>
  <c r="J51" i="1" s="1"/>
  <c r="K57" i="9"/>
  <c r="AA33" i="9" s="1"/>
  <c r="E57" i="9"/>
  <c r="AA39" i="9" s="1"/>
  <c r="E38" i="9"/>
  <c r="D51" i="1" s="1"/>
  <c r="I37" i="9"/>
  <c r="H50" i="1" s="1"/>
  <c r="I56" i="9"/>
  <c r="Y35" i="9" s="1"/>
  <c r="AE35" i="9" s="1"/>
  <c r="G57" i="9"/>
  <c r="AA37" i="9" s="1"/>
  <c r="G38" i="9"/>
  <c r="F51" i="1" s="1"/>
  <c r="J37" i="9"/>
  <c r="I50" i="1" s="1"/>
  <c r="J56" i="9"/>
  <c r="Y34" i="9" s="1"/>
  <c r="AE34" i="9" s="1"/>
  <c r="K37" i="9"/>
  <c r="J50" i="1" s="1"/>
  <c r="K56" i="9"/>
  <c r="E37" i="9"/>
  <c r="D50" i="1" s="1"/>
  <c r="E56" i="9"/>
  <c r="Y39" i="9" s="1"/>
  <c r="AE39" i="9" s="1"/>
  <c r="I38" i="9"/>
  <c r="H51" i="1" s="1"/>
  <c r="I57" i="9"/>
  <c r="AA35" i="9" s="1"/>
  <c r="F38" i="9"/>
  <c r="E51" i="1" s="1"/>
  <c r="F57" i="9"/>
  <c r="AA38" i="9" s="1"/>
  <c r="I70" i="1"/>
  <c r="I76" i="1"/>
  <c r="I77" i="1" s="1"/>
  <c r="I71" i="1" s="1"/>
  <c r="C76" i="1"/>
  <c r="C77" i="1" s="1"/>
  <c r="C70" i="1"/>
  <c r="I40" i="9"/>
  <c r="I39" i="9"/>
  <c r="H52" i="1" s="1"/>
  <c r="I10" i="9"/>
  <c r="I41" i="9" s="1"/>
  <c r="H54" i="1" s="1"/>
  <c r="F37" i="9"/>
  <c r="E50" i="1" s="1"/>
  <c r="F56" i="9"/>
  <c r="Y38" i="9" s="1"/>
  <c r="AE38" i="9" s="1"/>
  <c r="Z125" i="4"/>
  <c r="J38" i="9"/>
  <c r="I51" i="1" s="1"/>
  <c r="J57" i="9"/>
  <c r="AA34" i="9" s="1"/>
  <c r="K40" i="9"/>
  <c r="K39" i="9"/>
  <c r="J52" i="1" s="1"/>
  <c r="K10" i="9"/>
  <c r="K41" i="9" s="1"/>
  <c r="J54" i="1" s="1"/>
  <c r="D38" i="9"/>
  <c r="C51" i="1" s="1"/>
  <c r="D57" i="9"/>
  <c r="AA40" i="9" s="1"/>
  <c r="C44" i="9"/>
  <c r="B56" i="1"/>
  <c r="G76" i="1"/>
  <c r="G77" i="1" s="1"/>
  <c r="G70" i="1"/>
  <c r="C74" i="1"/>
  <c r="D56" i="9"/>
  <c r="Y40" i="9" s="1"/>
  <c r="AE40" i="9" s="1"/>
  <c r="D37" i="9"/>
  <c r="C50" i="1" s="1"/>
  <c r="AB125" i="4"/>
  <c r="Y33" i="9" l="1"/>
  <c r="AE33" i="9" s="1"/>
  <c r="K18" i="9"/>
  <c r="K43" i="9" s="1"/>
  <c r="J56" i="1" s="1"/>
  <c r="G18" i="9"/>
  <c r="G43" i="9" s="1"/>
  <c r="AC44" i="4" s="1"/>
  <c r="I18" i="9"/>
  <c r="I43" i="9" s="1"/>
  <c r="H56" i="1" s="1"/>
  <c r="C68" i="1"/>
  <c r="G42" i="9"/>
  <c r="F55" i="1" s="1"/>
  <c r="F53" i="1"/>
  <c r="K42" i="9"/>
  <c r="J55" i="1" s="1"/>
  <c r="J53" i="1"/>
  <c r="G68" i="1"/>
  <c r="C45" i="9"/>
  <c r="B57" i="1"/>
  <c r="I68" i="1"/>
  <c r="E42" i="9"/>
  <c r="D55" i="1" s="1"/>
  <c r="D53" i="1"/>
  <c r="I42" i="9"/>
  <c r="H55" i="1" s="1"/>
  <c r="H53" i="1"/>
  <c r="E18" i="9"/>
  <c r="E43" i="9" s="1"/>
  <c r="AC45" i="4" l="1"/>
  <c r="AH45" i="4" s="1"/>
  <c r="K27" i="9"/>
  <c r="F56" i="1"/>
  <c r="AA45" i="4"/>
  <c r="AG45" i="4" s="1"/>
  <c r="C46" i="9"/>
  <c r="B58" i="1"/>
  <c r="AA44" i="4"/>
  <c r="D56" i="1"/>
  <c r="G27" i="9"/>
  <c r="AC125" i="4"/>
  <c r="AH44" i="4"/>
  <c r="L27" i="9" l="1"/>
  <c r="V25" i="4" s="1"/>
  <c r="W25" i="4" s="1"/>
  <c r="W27" i="4" s="1"/>
  <c r="AE45" i="4"/>
  <c r="AH125" i="4"/>
  <c r="AA125" i="4"/>
  <c r="AG44" i="4"/>
  <c r="AD45" i="4"/>
  <c r="C47" i="9"/>
  <c r="B59" i="1"/>
  <c r="AF45" i="4" l="1"/>
  <c r="G24" i="4"/>
  <c r="BJ3" i="4" s="1"/>
  <c r="BN3" i="4" s="1"/>
  <c r="BO3" i="4" s="1"/>
  <c r="BP3" i="4" s="1"/>
  <c r="BQ3" i="4" s="1"/>
  <c r="BR3" i="4" s="1"/>
  <c r="BS3" i="4" s="1"/>
  <c r="BT3" i="4" s="1"/>
  <c r="BU3" i="4" s="1"/>
  <c r="BV3" i="4" s="1"/>
  <c r="E25" i="4"/>
  <c r="C48" i="9"/>
  <c r="B60" i="1"/>
  <c r="AG125" i="4"/>
  <c r="BM3" i="4" l="1"/>
  <c r="D25" i="4"/>
  <c r="C49" i="9"/>
  <c r="B61" i="1"/>
  <c r="BW3" i="4"/>
  <c r="BX3" i="4" s="1"/>
  <c r="BN10" i="4"/>
  <c r="D51" i="4" l="1"/>
  <c r="D52" i="4" s="1"/>
  <c r="D49" i="7" s="1"/>
  <c r="AL34" i="4"/>
  <c r="AS36" i="4" s="1"/>
  <c r="AM34" i="4"/>
  <c r="AT36" i="4" s="1"/>
  <c r="AK34" i="4"/>
  <c r="AR36" i="4" s="1"/>
  <c r="BC44" i="4" s="1"/>
  <c r="G28" i="4"/>
  <c r="AK18" i="4"/>
  <c r="AR34" i="4" s="1"/>
  <c r="AU43" i="4" s="1"/>
  <c r="AJ44" i="4"/>
  <c r="AJ125" i="4" s="1"/>
  <c r="AM18" i="4"/>
  <c r="AT34" i="4" s="1"/>
  <c r="AV40" i="4" s="1"/>
  <c r="N28" i="4"/>
  <c r="J91" i="4"/>
  <c r="H28" i="4"/>
  <c r="AL44" i="4"/>
  <c r="AL125" i="4" s="1"/>
  <c r="D28" i="4"/>
  <c r="AL45" i="4"/>
  <c r="K28" i="4"/>
  <c r="AK45" i="4"/>
  <c r="D2" i="16"/>
  <c r="AJ45" i="4"/>
  <c r="AK44" i="4"/>
  <c r="AK125" i="4" s="1"/>
  <c r="AL18" i="4"/>
  <c r="AS34" i="4" s="1"/>
  <c r="M28" i="4"/>
  <c r="U82" i="4"/>
  <c r="D48" i="7" s="1"/>
  <c r="M91" i="4"/>
  <c r="E28" i="4"/>
  <c r="C62" i="9"/>
  <c r="D91" i="4"/>
  <c r="J28" i="4"/>
  <c r="G91" i="4"/>
  <c r="C50" i="9"/>
  <c r="B62" i="1"/>
  <c r="AR43" i="4" l="1"/>
  <c r="AV41" i="4"/>
  <c r="AV48" i="4" s="1"/>
  <c r="H30" i="4" s="1"/>
  <c r="U40" i="4" s="1"/>
  <c r="U36" i="4" s="1"/>
  <c r="AS42" i="4"/>
  <c r="AR42" i="4"/>
  <c r="AT42" i="4"/>
  <c r="AT40" i="4"/>
  <c r="BB44" i="4"/>
  <c r="BB125" i="4" s="1"/>
  <c r="BA47" i="4"/>
  <c r="BA48" i="4" s="1"/>
  <c r="M30" i="4" s="1"/>
  <c r="X40" i="4" s="1"/>
  <c r="X36" i="4" s="1"/>
  <c r="AX47" i="4"/>
  <c r="AX46" i="4"/>
  <c r="AY46" i="4"/>
  <c r="AZ46" i="4"/>
  <c r="AZ44" i="4"/>
  <c r="AZ125" i="4" s="1"/>
  <c r="AY44" i="4"/>
  <c r="AY125" i="4" s="1"/>
  <c r="AW40" i="4"/>
  <c r="AS40" i="4"/>
  <c r="AM45" i="4"/>
  <c r="AU41" i="4"/>
  <c r="AU48" i="4" s="1"/>
  <c r="G30" i="4" s="1"/>
  <c r="T40" i="4" s="1"/>
  <c r="T36" i="4" s="1"/>
  <c r="AW41" i="4"/>
  <c r="AM44" i="4"/>
  <c r="AM125" i="4" s="1"/>
  <c r="BC125" i="4"/>
  <c r="BC48" i="4"/>
  <c r="O30" i="4" s="1"/>
  <c r="C51" i="9"/>
  <c r="B63" i="1"/>
  <c r="AS48" i="4" l="1"/>
  <c r="E30" i="4" s="1"/>
  <c r="S40" i="4" s="1"/>
  <c r="S36" i="4" s="1"/>
  <c r="AR48" i="4"/>
  <c r="D30" i="4" s="1"/>
  <c r="R40" i="4" s="1"/>
  <c r="R36" i="4" s="1"/>
  <c r="S45" i="4" s="1"/>
  <c r="AX48" i="4"/>
  <c r="J30" i="4" s="1"/>
  <c r="V40" i="4" s="1"/>
  <c r="V36" i="4" s="1"/>
  <c r="U44" i="4" s="1"/>
  <c r="U125" i="4" s="1"/>
  <c r="AT48" i="4"/>
  <c r="F30" i="4" s="1"/>
  <c r="AW48" i="4"/>
  <c r="I30" i="4" s="1"/>
  <c r="BB48" i="4"/>
  <c r="N30" i="4" s="1"/>
  <c r="Y40" i="4" s="1"/>
  <c r="Y36" i="4" s="1"/>
  <c r="AZ48" i="4"/>
  <c r="L30" i="4" s="1"/>
  <c r="AY48" i="4"/>
  <c r="K30" i="4" s="1"/>
  <c r="W40" i="4" s="1"/>
  <c r="W36" i="4" s="1"/>
  <c r="V45" i="4" s="1"/>
  <c r="C52" i="9"/>
  <c r="B65" i="1" s="1"/>
  <c r="B64" i="1"/>
  <c r="V44" i="4" l="1"/>
  <c r="V125" i="4" s="1"/>
  <c r="T44" i="4"/>
  <c r="T125" i="4" s="1"/>
  <c r="S44" i="4"/>
  <c r="S125" i="4" s="1"/>
  <c r="T45" i="4"/>
  <c r="U45" i="4"/>
  <c r="W45" i="4" l="1"/>
  <c r="T56" i="4" s="1"/>
  <c r="W44" i="4"/>
  <c r="U55" i="4" s="1"/>
  <c r="S56" i="4" l="1"/>
  <c r="X56" i="4" s="1"/>
  <c r="U56" i="4"/>
  <c r="V56" i="4"/>
  <c r="V55" i="4"/>
  <c r="Y55" i="4" s="1"/>
  <c r="S55" i="4"/>
  <c r="W125" i="4"/>
  <c r="T55" i="4"/>
  <c r="Y56" i="4" l="1"/>
  <c r="Y57" i="4"/>
  <c r="X55" i="4"/>
  <c r="X57" i="4" s="1"/>
  <c r="X58" i="4" l="1"/>
  <c r="Y58" i="4" s="1"/>
  <c r="AB55" i="4"/>
  <c r="AC55" i="4" l="1"/>
  <c r="AB56" i="4"/>
  <c r="AB58" i="4" s="1"/>
  <c r="AC56" i="4"/>
  <c r="AC58" i="4" s="1"/>
  <c r="AB57" i="4"/>
  <c r="AD56" i="4"/>
  <c r="AE56" i="4"/>
  <c r="AE55" i="4"/>
  <c r="AD55" i="4"/>
  <c r="AC57" i="4"/>
  <c r="AI55" i="4" s="1"/>
  <c r="T60" i="4" s="1"/>
  <c r="AC60" i="4" s="1"/>
  <c r="AI56" i="4" l="1"/>
  <c r="T61" i="4" s="1"/>
  <c r="AC61" i="4" s="1"/>
  <c r="AH55" i="4"/>
  <c r="S60" i="4" s="1"/>
  <c r="AB60" i="4" s="1"/>
  <c r="AH56" i="4"/>
  <c r="S61" i="4" s="1"/>
  <c r="AE58" i="4"/>
  <c r="AK56" i="4" s="1"/>
  <c r="V61" i="4" s="1"/>
  <c r="AE61" i="4" s="1"/>
  <c r="AD57" i="4"/>
  <c r="AD58" i="4"/>
  <c r="AJ56" i="4" s="1"/>
  <c r="U61" i="4" s="1"/>
  <c r="AE57" i="4"/>
  <c r="AK55" i="4" s="1"/>
  <c r="V60" i="4" s="1"/>
  <c r="AE60" i="4" s="1"/>
  <c r="AJ55" i="4" l="1"/>
  <c r="U60" i="4" s="1"/>
  <c r="W60" i="4" s="1"/>
  <c r="X61" i="4"/>
  <c r="X60" i="4"/>
  <c r="AB61" i="4"/>
  <c r="W61" i="4"/>
  <c r="AD61" i="4"/>
  <c r="Y61" i="4"/>
  <c r="AD60" i="4"/>
  <c r="Y60" i="4"/>
  <c r="AF61" i="4" l="1"/>
  <c r="G84" i="4" s="1"/>
  <c r="F83" i="4" l="1"/>
  <c r="F3" i="9" s="1"/>
  <c r="D83" i="4"/>
  <c r="D3" i="9" s="1"/>
  <c r="E83" i="4"/>
  <c r="E86" i="4" s="1"/>
  <c r="F84" i="4"/>
  <c r="J84" i="4" s="1"/>
  <c r="G83" i="4"/>
  <c r="H86" i="4" s="1"/>
  <c r="D84" i="4"/>
  <c r="E84" i="4"/>
  <c r="W64" i="4" s="1"/>
  <c r="H34" i="4" s="1"/>
  <c r="H11" i="4" s="1"/>
  <c r="K3" i="9"/>
  <c r="H87" i="4"/>
  <c r="Y64" i="4"/>
  <c r="I41" i="1"/>
  <c r="J3" i="9" l="1"/>
  <c r="J14" i="9" s="1"/>
  <c r="J34" i="9" s="1"/>
  <c r="I47" i="1" s="1"/>
  <c r="S64" i="4"/>
  <c r="K34" i="4" s="1"/>
  <c r="E3" i="9"/>
  <c r="E45" i="9" s="1"/>
  <c r="D58" i="1" s="1"/>
  <c r="G86" i="4"/>
  <c r="T64" i="4"/>
  <c r="J34" i="4" s="1"/>
  <c r="H41" i="1"/>
  <c r="G87" i="4"/>
  <c r="X64" i="4"/>
  <c r="M34" i="4" s="1"/>
  <c r="D86" i="4"/>
  <c r="B41" i="1"/>
  <c r="R64" i="4"/>
  <c r="G3" i="9"/>
  <c r="G14" i="9" s="1"/>
  <c r="G34" i="9" s="1"/>
  <c r="F47" i="1" s="1"/>
  <c r="J83" i="4"/>
  <c r="G41" i="1"/>
  <c r="I3" i="9"/>
  <c r="I45" i="9" s="1"/>
  <c r="H58" i="1" s="1"/>
  <c r="I84" i="4"/>
  <c r="D87" i="4"/>
  <c r="E41" i="1"/>
  <c r="H83" i="4"/>
  <c r="D41" i="1"/>
  <c r="U64" i="4"/>
  <c r="N34" i="4" s="1"/>
  <c r="E87" i="4"/>
  <c r="V64" i="4"/>
  <c r="F41" i="1"/>
  <c r="H84" i="4"/>
  <c r="I83" i="4"/>
  <c r="H3" i="9"/>
  <c r="H55" i="9" s="1"/>
  <c r="C41" i="1"/>
  <c r="J45" i="9"/>
  <c r="I58" i="1" s="1"/>
  <c r="F45" i="9"/>
  <c r="E58" i="1" s="1"/>
  <c r="F30" i="9"/>
  <c r="E43" i="1" s="1"/>
  <c r="F55" i="9"/>
  <c r="F14" i="9"/>
  <c r="F34" i="9" s="1"/>
  <c r="E47" i="1" s="1"/>
  <c r="K55" i="9"/>
  <c r="K30" i="9"/>
  <c r="J43" i="1" s="1"/>
  <c r="K14" i="9"/>
  <c r="K34" i="9" s="1"/>
  <c r="J47" i="1" s="1"/>
  <c r="K45" i="9"/>
  <c r="J58" i="1" s="1"/>
  <c r="K44" i="9"/>
  <c r="J57" i="1" s="1"/>
  <c r="V21" i="9"/>
  <c r="J84" i="7"/>
  <c r="N95" i="7" s="1"/>
  <c r="H37" i="4"/>
  <c r="I34" i="4"/>
  <c r="I11" i="4" s="1"/>
  <c r="H29" i="7"/>
  <c r="H39" i="4"/>
  <c r="H29" i="4"/>
  <c r="D20" i="9"/>
  <c r="D47" i="9" s="1"/>
  <c r="D30" i="9"/>
  <c r="C43" i="1" s="1"/>
  <c r="D45" i="9"/>
  <c r="C58" i="1" s="1"/>
  <c r="D14" i="9"/>
  <c r="D34" i="9" s="1"/>
  <c r="C47" i="1" s="1"/>
  <c r="D55" i="9"/>
  <c r="J55" i="9" l="1"/>
  <c r="J58" i="9" s="1"/>
  <c r="D34" i="4"/>
  <c r="D11" i="4" s="1"/>
  <c r="D67" i="4" s="1"/>
  <c r="J30" i="9"/>
  <c r="I43" i="1" s="1"/>
  <c r="G34" i="4"/>
  <c r="G11" i="4" s="1"/>
  <c r="G67" i="4" s="1"/>
  <c r="K11" i="4"/>
  <c r="K14" i="4" s="1"/>
  <c r="E25" i="1" s="1"/>
  <c r="L84" i="7"/>
  <c r="H95" i="7" s="1"/>
  <c r="L34" i="4"/>
  <c r="L11" i="4" s="1"/>
  <c r="K37" i="4"/>
  <c r="M71" i="4" s="1"/>
  <c r="E35" i="7"/>
  <c r="K39" i="4"/>
  <c r="K29" i="4"/>
  <c r="L29" i="4" s="1"/>
  <c r="E34" i="4"/>
  <c r="E11" i="4" s="1"/>
  <c r="E14" i="4" s="1"/>
  <c r="O25" i="1" s="1"/>
  <c r="D35" i="7"/>
  <c r="J63" i="4"/>
  <c r="M73" i="4"/>
  <c r="J11" i="4"/>
  <c r="K84" i="7"/>
  <c r="J39" i="4"/>
  <c r="J29" i="4"/>
  <c r="S16" i="9" s="1"/>
  <c r="M84" i="7"/>
  <c r="M63" i="4"/>
  <c r="J73" i="4"/>
  <c r="M11" i="4"/>
  <c r="F22" i="7"/>
  <c r="M39" i="4"/>
  <c r="M29" i="4"/>
  <c r="U16" i="9" s="1"/>
  <c r="M72" i="4"/>
  <c r="E30" i="9"/>
  <c r="D43" i="1" s="1"/>
  <c r="E44" i="9"/>
  <c r="D57" i="1" s="1"/>
  <c r="P21" i="9"/>
  <c r="E55" i="9"/>
  <c r="E58" i="9" s="1"/>
  <c r="E14" i="9"/>
  <c r="E34" i="9" s="1"/>
  <c r="D47" i="1" s="1"/>
  <c r="I44" i="9"/>
  <c r="H57" i="1" s="1"/>
  <c r="G44" i="9"/>
  <c r="F57" i="1" s="1"/>
  <c r="I30" i="9"/>
  <c r="H43" i="1" s="1"/>
  <c r="G30" i="9"/>
  <c r="F43" i="1" s="1"/>
  <c r="G55" i="9"/>
  <c r="G58" i="9" s="1"/>
  <c r="I84" i="7"/>
  <c r="I95" i="7" s="1"/>
  <c r="R21" i="9"/>
  <c r="G45" i="9"/>
  <c r="F58" i="1" s="1"/>
  <c r="I55" i="9"/>
  <c r="I59" i="9" s="1"/>
  <c r="Z35" i="9" s="1"/>
  <c r="I14" i="9"/>
  <c r="I34" i="9" s="1"/>
  <c r="H47" i="1" s="1"/>
  <c r="J72" i="4"/>
  <c r="N11" i="4"/>
  <c r="J24" i="1" s="1"/>
  <c r="G84" i="7"/>
  <c r="M95" i="7" s="1"/>
  <c r="T21" i="9"/>
  <c r="H45" i="9"/>
  <c r="G58" i="1" s="1"/>
  <c r="H20" i="9"/>
  <c r="H47" i="9" s="1"/>
  <c r="L55" i="2" s="1"/>
  <c r="L61" i="2" s="1"/>
  <c r="J41" i="1"/>
  <c r="O34" i="4"/>
  <c r="D22" i="7" s="1"/>
  <c r="H30" i="9"/>
  <c r="G43" i="1" s="1"/>
  <c r="N84" i="7"/>
  <c r="L95" i="7" s="1"/>
  <c r="N29" i="4"/>
  <c r="V16" i="9" s="1"/>
  <c r="E22" i="7"/>
  <c r="N37" i="4"/>
  <c r="J71" i="4" s="1"/>
  <c r="N39" i="4"/>
  <c r="H14" i="9"/>
  <c r="H34" i="9" s="1"/>
  <c r="G47" i="1" s="1"/>
  <c r="L54" i="2"/>
  <c r="L60" i="2" s="1"/>
  <c r="C60" i="1"/>
  <c r="D21" i="9"/>
  <c r="R16" i="9"/>
  <c r="I29" i="4"/>
  <c r="D58" i="9"/>
  <c r="D59" i="9"/>
  <c r="Z40" i="9" s="1"/>
  <c r="H58" i="9"/>
  <c r="H59" i="9"/>
  <c r="Z36" i="9" s="1"/>
  <c r="H14" i="4"/>
  <c r="T25" i="1" s="1"/>
  <c r="T24" i="1"/>
  <c r="F58" i="9"/>
  <c r="F59" i="9"/>
  <c r="Z38" i="9" s="1"/>
  <c r="J59" i="9"/>
  <c r="Z34" i="9" s="1"/>
  <c r="H27" i="7"/>
  <c r="I39" i="4"/>
  <c r="H107" i="4"/>
  <c r="H108" i="4" s="1"/>
  <c r="H109" i="4" s="1"/>
  <c r="H111" i="4" s="1"/>
  <c r="H126" i="4" s="1"/>
  <c r="G62" i="4"/>
  <c r="I37" i="4"/>
  <c r="I38" i="4" s="1"/>
  <c r="H38" i="4"/>
  <c r="H41" i="4" s="1"/>
  <c r="T16" i="9"/>
  <c r="E19" i="9"/>
  <c r="K58" i="9"/>
  <c r="X33" i="9" s="1"/>
  <c r="K59" i="9"/>
  <c r="Z33" i="9" s="1"/>
  <c r="J62" i="4" l="1"/>
  <c r="K107" i="4"/>
  <c r="K108" i="4" s="1"/>
  <c r="K109" i="4" s="1"/>
  <c r="K111" i="4" s="1"/>
  <c r="K126" i="4" s="1"/>
  <c r="L39" i="4"/>
  <c r="H31" i="7"/>
  <c r="F35" i="7"/>
  <c r="S24" i="1"/>
  <c r="D39" i="4"/>
  <c r="D29" i="4"/>
  <c r="O16" i="9" s="1"/>
  <c r="O17" i="9" s="1"/>
  <c r="D15" i="9" s="1"/>
  <c r="D35" i="9" s="1"/>
  <c r="C48" i="1" s="1"/>
  <c r="L37" i="4"/>
  <c r="L38" i="4" s="1"/>
  <c r="L55" i="4" s="1"/>
  <c r="F66" i="1" s="1"/>
  <c r="E24" i="1"/>
  <c r="D72" i="4"/>
  <c r="K38" i="4"/>
  <c r="K144" i="4" s="1"/>
  <c r="G73" i="4"/>
  <c r="G39" i="4"/>
  <c r="D63" i="4"/>
  <c r="D96" i="4" s="1"/>
  <c r="D58" i="4" s="1"/>
  <c r="B27" i="7"/>
  <c r="N24" i="1"/>
  <c r="D73" i="4"/>
  <c r="D77" i="4" s="1"/>
  <c r="D103" i="4" s="1"/>
  <c r="D60" i="4" s="1"/>
  <c r="G63" i="4"/>
  <c r="G96" i="4" s="1"/>
  <c r="G58" i="4" s="1"/>
  <c r="G29" i="4"/>
  <c r="Q16" i="9" s="1"/>
  <c r="D12" i="9" s="1"/>
  <c r="D32" i="9" s="1"/>
  <c r="O24" i="1"/>
  <c r="D71" i="4"/>
  <c r="G72" i="4"/>
  <c r="E29" i="4"/>
  <c r="P16" i="9" s="1"/>
  <c r="P17" i="9" s="1"/>
  <c r="E15" i="9" s="1"/>
  <c r="E35" i="9" s="1"/>
  <c r="D48" i="1" s="1"/>
  <c r="B29" i="7"/>
  <c r="H84" i="7"/>
  <c r="J95" i="7" s="1"/>
  <c r="F34" i="4"/>
  <c r="F11" i="4" s="1"/>
  <c r="F14" i="4" s="1"/>
  <c r="P25" i="1" s="1"/>
  <c r="E39" i="4"/>
  <c r="E37" i="4"/>
  <c r="G71" i="4" s="1"/>
  <c r="H12" i="9"/>
  <c r="H32" i="9" s="1"/>
  <c r="E59" i="9"/>
  <c r="Z39" i="9" s="1"/>
  <c r="J77" i="4"/>
  <c r="J103" i="4" s="1"/>
  <c r="J60" i="4" s="1"/>
  <c r="M77" i="4"/>
  <c r="M76" i="4" s="1"/>
  <c r="G60" i="1"/>
  <c r="J67" i="4"/>
  <c r="D24" i="1"/>
  <c r="S17" i="9"/>
  <c r="H15" i="9" s="1"/>
  <c r="H35" i="9" s="1"/>
  <c r="G48" i="1" s="1"/>
  <c r="M67" i="4"/>
  <c r="I24" i="1"/>
  <c r="J96" i="4"/>
  <c r="J58" i="4" s="1"/>
  <c r="M96" i="4"/>
  <c r="M58" i="4" s="1"/>
  <c r="U17" i="9"/>
  <c r="J15" i="9" s="1"/>
  <c r="J35" i="9" s="1"/>
  <c r="I48" i="1" s="1"/>
  <c r="I58" i="9"/>
  <c r="X35" i="9" s="1"/>
  <c r="AD35" i="9" s="1"/>
  <c r="N14" i="4"/>
  <c r="J25" i="1" s="1"/>
  <c r="G59" i="9"/>
  <c r="Z37" i="9" s="1"/>
  <c r="N38" i="4"/>
  <c r="N41" i="4" s="1"/>
  <c r="N85" i="7" s="1"/>
  <c r="L96" i="7" s="1"/>
  <c r="O39" i="4"/>
  <c r="O11" i="4"/>
  <c r="K24" i="1" s="1"/>
  <c r="I19" i="9"/>
  <c r="H21" i="9"/>
  <c r="H24" i="9" s="1"/>
  <c r="H25" i="9" s="1"/>
  <c r="H52" i="9" s="1"/>
  <c r="G65" i="1" s="1"/>
  <c r="O37" i="4"/>
  <c r="O38" i="4" s="1"/>
  <c r="O55" i="4" s="1"/>
  <c r="K66" i="1" s="1"/>
  <c r="O29" i="4"/>
  <c r="N107" i="4"/>
  <c r="N108" i="4" s="1"/>
  <c r="N109" i="4" s="1"/>
  <c r="N111" i="4" s="1"/>
  <c r="N126" i="4" s="1"/>
  <c r="M62" i="4"/>
  <c r="M64" i="4" s="1"/>
  <c r="J85" i="7"/>
  <c r="N96" i="7" s="1"/>
  <c r="H40" i="4"/>
  <c r="H43" i="4" s="1"/>
  <c r="T18" i="1"/>
  <c r="R29" i="7"/>
  <c r="H54" i="4"/>
  <c r="T39" i="1" s="1"/>
  <c r="E20" i="9"/>
  <c r="E23" i="9"/>
  <c r="E50" i="9" s="1"/>
  <c r="D63" i="1" s="1"/>
  <c r="E46" i="9"/>
  <c r="I14" i="4"/>
  <c r="U25" i="1" s="1"/>
  <c r="U24" i="1"/>
  <c r="I41" i="4"/>
  <c r="I54" i="4"/>
  <c r="U39" i="1" s="1"/>
  <c r="X39" i="9"/>
  <c r="AD39" i="9" s="1"/>
  <c r="B3" i="15"/>
  <c r="D45" i="1"/>
  <c r="D44" i="1" s="1"/>
  <c r="X34" i="9"/>
  <c r="AD34" i="9" s="1"/>
  <c r="B8" i="15"/>
  <c r="I45" i="1"/>
  <c r="I44" i="1" s="1"/>
  <c r="H63" i="9"/>
  <c r="H64" i="9" s="1"/>
  <c r="H65" i="9" s="1"/>
  <c r="I62" i="9" s="1"/>
  <c r="B6" i="15"/>
  <c r="X36" i="9"/>
  <c r="AD36" i="9" s="1"/>
  <c r="AF36" i="9" s="1"/>
  <c r="G45" i="1"/>
  <c r="G44" i="1" s="1"/>
  <c r="J64" i="4"/>
  <c r="E12" i="9"/>
  <c r="E32" i="9" s="1"/>
  <c r="D63" i="9"/>
  <c r="D64" i="9" s="1"/>
  <c r="D65" i="9" s="1"/>
  <c r="E62" i="9" s="1"/>
  <c r="X40" i="9"/>
  <c r="AD40" i="9" s="1"/>
  <c r="AF40" i="9" s="1"/>
  <c r="B2" i="15"/>
  <c r="C45" i="1"/>
  <c r="C44" i="1" s="1"/>
  <c r="L14" i="4"/>
  <c r="F25" i="1" s="1"/>
  <c r="F24" i="1"/>
  <c r="L54" i="4"/>
  <c r="F39" i="1" s="1"/>
  <c r="X37" i="9"/>
  <c r="AD37" i="9" s="1"/>
  <c r="B5" i="15"/>
  <c r="F45" i="1"/>
  <c r="F44" i="1" s="1"/>
  <c r="D22" i="9"/>
  <c r="D49" i="9" s="1"/>
  <c r="C62" i="1" s="1"/>
  <c r="D24" i="9"/>
  <c r="D48" i="9"/>
  <c r="C61" i="1" s="1"/>
  <c r="R17" i="9"/>
  <c r="G15" i="9" s="1"/>
  <c r="G35" i="9" s="1"/>
  <c r="F48" i="1" s="1"/>
  <c r="I12" i="9"/>
  <c r="I32" i="9" s="1"/>
  <c r="AD33" i="9"/>
  <c r="B9" i="15"/>
  <c r="J45" i="1"/>
  <c r="J44" i="1" s="1"/>
  <c r="X38" i="9"/>
  <c r="AD38" i="9" s="1"/>
  <c r="B4" i="15"/>
  <c r="E45" i="1"/>
  <c r="E44" i="1" s="1"/>
  <c r="T17" i="9"/>
  <c r="I15" i="9" s="1"/>
  <c r="I35" i="9" s="1"/>
  <c r="H48" i="1" s="1"/>
  <c r="K12" i="9"/>
  <c r="K32" i="9" s="1"/>
  <c r="H90" i="4"/>
  <c r="H144" i="4"/>
  <c r="H119" i="4"/>
  <c r="H117" i="4"/>
  <c r="T17" i="1"/>
  <c r="J72" i="1" s="1"/>
  <c r="H55" i="4"/>
  <c r="T66" i="1" s="1"/>
  <c r="V17" i="9"/>
  <c r="K15" i="9" s="1"/>
  <c r="K35" i="9" s="1"/>
  <c r="J48" i="1" s="1"/>
  <c r="I90" i="4"/>
  <c r="U17" i="1"/>
  <c r="I55" i="4"/>
  <c r="U66" i="1" s="1"/>
  <c r="G12" i="9" l="1"/>
  <c r="G32" i="9" s="1"/>
  <c r="J12" i="9"/>
  <c r="J32" i="9" s="1"/>
  <c r="F17" i="1"/>
  <c r="E28" i="7"/>
  <c r="L90" i="4"/>
  <c r="F39" i="4"/>
  <c r="F54" i="4"/>
  <c r="P39" i="1" s="1"/>
  <c r="P24" i="1"/>
  <c r="F29" i="4"/>
  <c r="G77" i="4"/>
  <c r="G103" i="4" s="1"/>
  <c r="G60" i="4" s="1"/>
  <c r="K119" i="4"/>
  <c r="Q17" i="9"/>
  <c r="F15" i="9" s="1"/>
  <c r="F35" i="9" s="1"/>
  <c r="E48" i="1" s="1"/>
  <c r="K41" i="4"/>
  <c r="K40" i="4" s="1"/>
  <c r="K117" i="4"/>
  <c r="B31" i="7"/>
  <c r="L41" i="4"/>
  <c r="E38" i="4"/>
  <c r="E119" i="4" s="1"/>
  <c r="E17" i="1"/>
  <c r="D72" i="1" s="1"/>
  <c r="D62" i="4"/>
  <c r="D64" i="4" s="1"/>
  <c r="D68" i="4" s="1"/>
  <c r="D54" i="4" s="1"/>
  <c r="N39" i="1" s="1"/>
  <c r="K55" i="4"/>
  <c r="E66" i="1" s="1"/>
  <c r="K90" i="4"/>
  <c r="G64" i="4"/>
  <c r="G68" i="4" s="1"/>
  <c r="G54" i="4" s="1"/>
  <c r="S39" i="1" s="1"/>
  <c r="F37" i="4"/>
  <c r="F38" i="4" s="1"/>
  <c r="P17" i="1" s="1"/>
  <c r="F12" i="9"/>
  <c r="F32" i="9" s="1"/>
  <c r="E107" i="4"/>
  <c r="E108" i="4" s="1"/>
  <c r="E109" i="4" s="1"/>
  <c r="E111" i="4" s="1"/>
  <c r="E126" i="4" s="1"/>
  <c r="BG126" i="4" s="1"/>
  <c r="M103" i="4"/>
  <c r="M60" i="4" s="1"/>
  <c r="J76" i="4"/>
  <c r="J68" i="4"/>
  <c r="J54" i="4" s="1"/>
  <c r="D39" i="1" s="1"/>
  <c r="M68" i="4"/>
  <c r="M54" i="4" s="1"/>
  <c r="I39" i="1" s="1"/>
  <c r="G37" i="4"/>
  <c r="G38" i="4" s="1"/>
  <c r="G55" i="4" s="1"/>
  <c r="S66" i="1" s="1"/>
  <c r="N54" i="4"/>
  <c r="J39" i="1" s="1"/>
  <c r="N119" i="4"/>
  <c r="H45" i="1"/>
  <c r="H44" i="1" s="1"/>
  <c r="B7" i="15"/>
  <c r="A7" i="15" s="1"/>
  <c r="G76" i="4"/>
  <c r="J17" i="1"/>
  <c r="H72" i="1" s="1"/>
  <c r="N117" i="4"/>
  <c r="O22" i="7"/>
  <c r="N90" i="4"/>
  <c r="J18" i="1"/>
  <c r="N40" i="4"/>
  <c r="N43" i="4" s="1"/>
  <c r="N144" i="4"/>
  <c r="N55" i="4"/>
  <c r="J66" i="1" s="1"/>
  <c r="O54" i="4"/>
  <c r="K39" i="1" s="1"/>
  <c r="O14" i="4"/>
  <c r="K25" i="1" s="1"/>
  <c r="O41" i="4"/>
  <c r="N22" i="7" s="1"/>
  <c r="K17" i="1"/>
  <c r="O90" i="4"/>
  <c r="H22" i="9"/>
  <c r="H49" i="9" s="1"/>
  <c r="G62" i="1" s="1"/>
  <c r="I20" i="9"/>
  <c r="I46" i="9"/>
  <c r="H51" i="9"/>
  <c r="G64" i="1" s="1"/>
  <c r="H48" i="9"/>
  <c r="G61" i="1" s="1"/>
  <c r="I23" i="9"/>
  <c r="I50" i="9" s="1"/>
  <c r="H63" i="1" s="1"/>
  <c r="D76" i="4"/>
  <c r="J37" i="4"/>
  <c r="J38" i="4" s="1"/>
  <c r="J90" i="4" s="1"/>
  <c r="H120" i="4"/>
  <c r="H127" i="4" s="1"/>
  <c r="M37" i="4"/>
  <c r="M38" i="4" s="1"/>
  <c r="I17" i="1" s="1"/>
  <c r="L85" i="7"/>
  <c r="H96" i="7" s="1"/>
  <c r="J86" i="7"/>
  <c r="N97" i="7" s="1"/>
  <c r="H42" i="4"/>
  <c r="H44" i="4" s="1"/>
  <c r="T19" i="1"/>
  <c r="H49" i="7"/>
  <c r="P35" i="7"/>
  <c r="L40" i="4"/>
  <c r="L43" i="4" s="1"/>
  <c r="F18" i="1"/>
  <c r="F19" i="9"/>
  <c r="F46" i="9" s="1"/>
  <c r="E47" i="9"/>
  <c r="E21" i="9"/>
  <c r="A8" i="15"/>
  <c r="D8" i="17"/>
  <c r="C8" i="15"/>
  <c r="D8" i="15" s="1"/>
  <c r="R27" i="7"/>
  <c r="I40" i="4"/>
  <c r="I43" i="4" s="1"/>
  <c r="U18" i="1"/>
  <c r="M49" i="2"/>
  <c r="M60" i="2" s="1"/>
  <c r="M64" i="2" s="1"/>
  <c r="D59" i="1"/>
  <c r="D5" i="17"/>
  <c r="C5" i="15"/>
  <c r="D5" i="15" s="1"/>
  <c r="A5" i="15"/>
  <c r="E63" i="9"/>
  <c r="E64" i="9" s="1"/>
  <c r="E65" i="9" s="1"/>
  <c r="F62" i="9" s="1"/>
  <c r="AC39" i="9"/>
  <c r="AF39" i="9" s="1"/>
  <c r="A6" i="15"/>
  <c r="C6" i="15"/>
  <c r="D6" i="15" s="1"/>
  <c r="D6" i="17"/>
  <c r="A4" i="15"/>
  <c r="D4" i="17"/>
  <c r="C4" i="15"/>
  <c r="D4" i="15" s="1"/>
  <c r="AC35" i="9"/>
  <c r="AF35" i="9" s="1"/>
  <c r="I63" i="9"/>
  <c r="I64" i="9" s="1"/>
  <c r="I65" i="9" s="1"/>
  <c r="J62" i="9" s="1"/>
  <c r="A2" i="15"/>
  <c r="D2" i="17"/>
  <c r="C2" i="15"/>
  <c r="D2" i="15" s="1"/>
  <c r="C3" i="15"/>
  <c r="D3" i="15" s="1"/>
  <c r="A3" i="15"/>
  <c r="D3" i="17"/>
  <c r="C9" i="15"/>
  <c r="D9" i="15" s="1"/>
  <c r="A9" i="15"/>
  <c r="D9" i="17"/>
  <c r="D25" i="9"/>
  <c r="D52" i="9" s="1"/>
  <c r="C65" i="1" s="1"/>
  <c r="D51" i="9"/>
  <c r="C64" i="1" s="1"/>
  <c r="K120" i="4" l="1"/>
  <c r="K127" i="4" s="1"/>
  <c r="D37" i="4"/>
  <c r="D38" i="4" s="1"/>
  <c r="D90" i="4" s="1"/>
  <c r="D93" i="4" s="1"/>
  <c r="D94" i="4" s="1"/>
  <c r="K54" i="4"/>
  <c r="E39" i="1" s="1"/>
  <c r="O35" i="7"/>
  <c r="E18" i="1"/>
  <c r="E112" i="4"/>
  <c r="F41" i="4"/>
  <c r="P18" i="1" s="1"/>
  <c r="F90" i="4"/>
  <c r="E41" i="4"/>
  <c r="E117" i="4"/>
  <c r="E120" i="4" s="1"/>
  <c r="E127" i="4" s="1"/>
  <c r="E144" i="4"/>
  <c r="E90" i="4"/>
  <c r="O17" i="1"/>
  <c r="F72" i="1" s="1"/>
  <c r="E55" i="4"/>
  <c r="O66" i="1" s="1"/>
  <c r="F55" i="4"/>
  <c r="P66" i="1" s="1"/>
  <c r="D73" i="1"/>
  <c r="D74" i="1" s="1"/>
  <c r="E35" i="1"/>
  <c r="F35" i="1" s="1"/>
  <c r="N35" i="1"/>
  <c r="S17" i="1"/>
  <c r="E72" i="1" s="1"/>
  <c r="G90" i="4"/>
  <c r="G92" i="4" s="1"/>
  <c r="N17" i="1"/>
  <c r="I72" i="1" s="1"/>
  <c r="D7" i="17"/>
  <c r="E7" i="17" s="1"/>
  <c r="C7" i="15"/>
  <c r="D7" i="15" s="1"/>
  <c r="E59" i="1"/>
  <c r="E73" i="1" s="1"/>
  <c r="N49" i="2"/>
  <c r="O60" i="2" s="1"/>
  <c r="N64" i="2" s="1"/>
  <c r="O40" i="4"/>
  <c r="O43" i="4" s="1"/>
  <c r="K18" i="1"/>
  <c r="N120" i="4"/>
  <c r="N127" i="4" s="1"/>
  <c r="N86" i="7"/>
  <c r="L97" i="7" s="1"/>
  <c r="E42" i="7"/>
  <c r="N42" i="4"/>
  <c r="N44" i="4" s="1"/>
  <c r="P42" i="7" s="1"/>
  <c r="J19" i="1"/>
  <c r="M50" i="2"/>
  <c r="M61" i="2" s="1"/>
  <c r="M65" i="2" s="1"/>
  <c r="H59" i="1"/>
  <c r="J19" i="9"/>
  <c r="J46" i="9" s="1"/>
  <c r="I21" i="9"/>
  <c r="I47" i="9"/>
  <c r="J55" i="4"/>
  <c r="D66" i="1" s="1"/>
  <c r="D17" i="1"/>
  <c r="M90" i="4"/>
  <c r="M92" i="4" s="1"/>
  <c r="M55" i="4"/>
  <c r="I66" i="1" s="1"/>
  <c r="D60" i="1"/>
  <c r="M54" i="2"/>
  <c r="N60" i="2" s="1"/>
  <c r="H47" i="7"/>
  <c r="I42" i="4"/>
  <c r="I44" i="4" s="1"/>
  <c r="U19" i="1"/>
  <c r="F23" i="9"/>
  <c r="F50" i="9" s="1"/>
  <c r="E63" i="1" s="1"/>
  <c r="F20" i="9"/>
  <c r="J63" i="9"/>
  <c r="J64" i="9" s="1"/>
  <c r="J65" i="9" s="1"/>
  <c r="K62" i="9" s="1"/>
  <c r="AC34" i="9"/>
  <c r="AF34" i="9" s="1"/>
  <c r="J87" i="7"/>
  <c r="N98" i="7" s="1"/>
  <c r="H145" i="4"/>
  <c r="H45" i="4"/>
  <c r="T20" i="1"/>
  <c r="H125" i="4"/>
  <c r="H124" i="4"/>
  <c r="S49" i="7"/>
  <c r="D97" i="4"/>
  <c r="D57" i="4" s="1"/>
  <c r="D104" i="4"/>
  <c r="D59" i="4" s="1"/>
  <c r="D99" i="4"/>
  <c r="D101" i="4" s="1"/>
  <c r="A8" i="17"/>
  <c r="H8" i="17"/>
  <c r="G8" i="17"/>
  <c r="E8" i="17"/>
  <c r="F8" i="17"/>
  <c r="C8" i="17"/>
  <c r="B8" i="17"/>
  <c r="AC38" i="9"/>
  <c r="AF38" i="9" s="1"/>
  <c r="F63" i="9"/>
  <c r="F64" i="9" s="1"/>
  <c r="F65" i="9" s="1"/>
  <c r="G62" i="9" s="1"/>
  <c r="J93" i="4"/>
  <c r="J94" i="4" s="1"/>
  <c r="J92" i="4"/>
  <c r="E4" i="17"/>
  <c r="C4" i="17"/>
  <c r="A4" i="17"/>
  <c r="H4" i="17"/>
  <c r="G4" i="17"/>
  <c r="F4" i="17"/>
  <c r="B4" i="17"/>
  <c r="L86" i="7"/>
  <c r="H97" i="7" s="1"/>
  <c r="K42" i="4"/>
  <c r="E19" i="1"/>
  <c r="E55" i="7"/>
  <c r="G3" i="17"/>
  <c r="F3" i="17"/>
  <c r="E3" i="17"/>
  <c r="C3" i="17"/>
  <c r="J3" i="17"/>
  <c r="B3" i="17"/>
  <c r="I3" i="17"/>
  <c r="H3" i="17"/>
  <c r="A3" i="17"/>
  <c r="G2" i="17"/>
  <c r="F2" i="17"/>
  <c r="E2" i="17"/>
  <c r="C2" i="17"/>
  <c r="B2" i="17"/>
  <c r="H2" i="17"/>
  <c r="A2" i="17"/>
  <c r="E5" i="17"/>
  <c r="C5" i="17"/>
  <c r="I5" i="17"/>
  <c r="A5" i="17"/>
  <c r="H5" i="17"/>
  <c r="B5" i="17"/>
  <c r="J5" i="17"/>
  <c r="G5" i="17"/>
  <c r="F5" i="17"/>
  <c r="F55" i="7"/>
  <c r="L42" i="4"/>
  <c r="L44" i="4" s="1"/>
  <c r="F19" i="1"/>
  <c r="K43" i="4"/>
  <c r="I9" i="17"/>
  <c r="A9" i="17"/>
  <c r="H9" i="17"/>
  <c r="G9" i="17"/>
  <c r="E9" i="17"/>
  <c r="J9" i="17"/>
  <c r="F9" i="17"/>
  <c r="C9" i="17"/>
  <c r="B9" i="17"/>
  <c r="C6" i="17"/>
  <c r="B6" i="17"/>
  <c r="A6" i="17"/>
  <c r="G6" i="17"/>
  <c r="F6" i="17"/>
  <c r="H6" i="17"/>
  <c r="E6" i="17"/>
  <c r="E24" i="9"/>
  <c r="E22" i="9"/>
  <c r="E49" i="9" s="1"/>
  <c r="D62" i="1" s="1"/>
  <c r="E48" i="9"/>
  <c r="D61" i="1" s="1"/>
  <c r="F7" i="17" l="1"/>
  <c r="D55" i="4"/>
  <c r="N66" i="1" s="1"/>
  <c r="D92" i="4"/>
  <c r="A7" i="17"/>
  <c r="I7" i="17"/>
  <c r="E40" i="4"/>
  <c r="E43" i="4" s="1"/>
  <c r="H85" i="7"/>
  <c r="J96" i="7" s="1"/>
  <c r="L29" i="7"/>
  <c r="O18" i="1"/>
  <c r="E54" i="4"/>
  <c r="O39" i="1" s="1"/>
  <c r="BG127" i="4"/>
  <c r="F40" i="4"/>
  <c r="L31" i="7"/>
  <c r="E74" i="1"/>
  <c r="E36" i="1"/>
  <c r="F36" i="1" s="1"/>
  <c r="N36" i="1"/>
  <c r="H73" i="1"/>
  <c r="H74" i="1" s="1"/>
  <c r="O35" i="1"/>
  <c r="P35" i="1" s="1"/>
  <c r="D35" i="1"/>
  <c r="B7" i="17"/>
  <c r="J7" i="17"/>
  <c r="G7" i="17"/>
  <c r="H7" i="17"/>
  <c r="C7" i="17"/>
  <c r="G93" i="4"/>
  <c r="G94" i="4" s="1"/>
  <c r="G99" i="4" s="1"/>
  <c r="G101" i="4" s="1"/>
  <c r="M93" i="4"/>
  <c r="M94" i="4" s="1"/>
  <c r="M99" i="4" s="1"/>
  <c r="M101" i="4" s="1"/>
  <c r="N50" i="2"/>
  <c r="O61" i="2" s="1"/>
  <c r="N65" i="2" s="1"/>
  <c r="I59" i="1"/>
  <c r="I73" i="1" s="1"/>
  <c r="I74" i="1" s="1"/>
  <c r="K19" i="1"/>
  <c r="O42" i="4"/>
  <c r="O44" i="4" s="1"/>
  <c r="O45" i="4" s="1"/>
  <c r="G19" i="9"/>
  <c r="G20" i="9" s="1"/>
  <c r="F47" i="9"/>
  <c r="F21" i="9"/>
  <c r="D42" i="7"/>
  <c r="E121" i="4"/>
  <c r="N45" i="4"/>
  <c r="N88" i="7" s="1"/>
  <c r="L99" i="7" s="1"/>
  <c r="N87" i="7"/>
  <c r="L98" i="7" s="1"/>
  <c r="J20" i="1"/>
  <c r="N145" i="4"/>
  <c r="N124" i="4"/>
  <c r="D41" i="4"/>
  <c r="G85" i="7" s="1"/>
  <c r="M96" i="7" s="1"/>
  <c r="N125" i="4"/>
  <c r="M55" i="2"/>
  <c r="N61" i="2" s="1"/>
  <c r="H60" i="1"/>
  <c r="I22" i="9"/>
  <c r="I49" i="9" s="1"/>
  <c r="H62" i="1" s="1"/>
  <c r="I24" i="9"/>
  <c r="I48" i="9"/>
  <c r="H61" i="1" s="1"/>
  <c r="J23" i="9"/>
  <c r="J50" i="9" s="1"/>
  <c r="I63" i="1" s="1"/>
  <c r="J20" i="9"/>
  <c r="J97" i="4"/>
  <c r="J57" i="4" s="1"/>
  <c r="J99" i="4"/>
  <c r="J101" i="4" s="1"/>
  <c r="J104" i="4"/>
  <c r="J59" i="4" s="1"/>
  <c r="K63" i="9"/>
  <c r="K64" i="9" s="1"/>
  <c r="K65" i="9" s="1"/>
  <c r="AC33" i="9"/>
  <c r="AF33" i="9" s="1"/>
  <c r="AC37" i="9"/>
  <c r="AF37" i="9" s="1"/>
  <c r="G63" i="9"/>
  <c r="G64" i="9" s="1"/>
  <c r="G65" i="9" s="1"/>
  <c r="S47" i="7"/>
  <c r="I45" i="4"/>
  <c r="U20" i="1"/>
  <c r="I125" i="4"/>
  <c r="I124" i="4"/>
  <c r="Q55" i="7"/>
  <c r="L45" i="4"/>
  <c r="F20" i="1"/>
  <c r="L124" i="4"/>
  <c r="L125" i="4"/>
  <c r="E25" i="9"/>
  <c r="E52" i="9" s="1"/>
  <c r="D65" i="1" s="1"/>
  <c r="E51" i="9"/>
  <c r="D64" i="1" s="1"/>
  <c r="M68" i="7"/>
  <c r="J88" i="7"/>
  <c r="N99" i="7" s="1"/>
  <c r="T21" i="1"/>
  <c r="K44" i="4"/>
  <c r="M97" i="4" l="1"/>
  <c r="M57" i="4" s="1"/>
  <c r="F43" i="4"/>
  <c r="B51" i="7"/>
  <c r="P19" i="1"/>
  <c r="F42" i="4"/>
  <c r="F44" i="4" s="1"/>
  <c r="M104" i="4"/>
  <c r="M59" i="4" s="1"/>
  <c r="G104" i="4"/>
  <c r="G59" i="4" s="1"/>
  <c r="G97" i="4"/>
  <c r="G57" i="4" s="1"/>
  <c r="E42" i="4"/>
  <c r="E44" i="4" s="1"/>
  <c r="H86" i="7"/>
  <c r="J97" i="7" s="1"/>
  <c r="O19" i="1"/>
  <c r="B49" i="7"/>
  <c r="D36" i="1"/>
  <c r="O36" i="1"/>
  <c r="P36" i="1" s="1"/>
  <c r="O42" i="7"/>
  <c r="K20" i="1"/>
  <c r="O125" i="4"/>
  <c r="G23" i="9"/>
  <c r="G50" i="9" s="1"/>
  <c r="F63" i="1" s="1"/>
  <c r="O124" i="4"/>
  <c r="G46" i="9"/>
  <c r="F59" i="1" s="1"/>
  <c r="J21" i="1"/>
  <c r="F48" i="9"/>
  <c r="E61" i="1" s="1"/>
  <c r="F24" i="9"/>
  <c r="F22" i="9"/>
  <c r="F49" i="9" s="1"/>
  <c r="E62" i="1" s="1"/>
  <c r="K19" i="9"/>
  <c r="K46" i="9" s="1"/>
  <c r="J47" i="9"/>
  <c r="J21" i="9"/>
  <c r="E60" i="1"/>
  <c r="N54" i="2"/>
  <c r="P60" i="2" s="1"/>
  <c r="J61" i="7"/>
  <c r="I51" i="9"/>
  <c r="H64" i="1" s="1"/>
  <c r="I25" i="9"/>
  <c r="I52" i="9" s="1"/>
  <c r="H65" i="1" s="1"/>
  <c r="L27" i="7"/>
  <c r="N18" i="1"/>
  <c r="D40" i="4"/>
  <c r="D43" i="4" s="1"/>
  <c r="K74" i="7"/>
  <c r="F21" i="1"/>
  <c r="J41" i="4"/>
  <c r="M66" i="7"/>
  <c r="U21" i="1"/>
  <c r="G47" i="9"/>
  <c r="G21" i="9"/>
  <c r="I61" i="7"/>
  <c r="K21" i="1"/>
  <c r="K145" i="4"/>
  <c r="L87" i="7"/>
  <c r="H98" i="7" s="1"/>
  <c r="K45" i="4"/>
  <c r="E20" i="1"/>
  <c r="P55" i="7"/>
  <c r="K124" i="4"/>
  <c r="K125" i="4"/>
  <c r="M41" i="4" l="1"/>
  <c r="G41" i="4"/>
  <c r="I85" i="7" s="1"/>
  <c r="I96" i="7" s="1"/>
  <c r="M51" i="7"/>
  <c r="F125" i="4"/>
  <c r="F45" i="4"/>
  <c r="P20" i="1"/>
  <c r="F124" i="4"/>
  <c r="E125" i="4"/>
  <c r="H87" i="7"/>
  <c r="J98" i="7" s="1"/>
  <c r="E45" i="4"/>
  <c r="E124" i="4"/>
  <c r="M49" i="7"/>
  <c r="O20" i="1"/>
  <c r="E145" i="4"/>
  <c r="E146" i="4" s="1"/>
  <c r="F73" i="1"/>
  <c r="F74" i="1" s="1"/>
  <c r="J35" i="1"/>
  <c r="K35" i="1" s="1"/>
  <c r="S35" i="1"/>
  <c r="O49" i="2"/>
  <c r="Q60" i="2" s="1"/>
  <c r="O64" i="2" s="1"/>
  <c r="K23" i="9"/>
  <c r="K50" i="9" s="1"/>
  <c r="J63" i="1" s="1"/>
  <c r="K20" i="9"/>
  <c r="K21" i="9" s="1"/>
  <c r="J48" i="9"/>
  <c r="I61" i="1" s="1"/>
  <c r="J24" i="9"/>
  <c r="J22" i="9"/>
  <c r="J49" i="9" s="1"/>
  <c r="I62" i="1" s="1"/>
  <c r="N55" i="2"/>
  <c r="P61" i="2" s="1"/>
  <c r="I60" i="1"/>
  <c r="F25" i="9"/>
  <c r="F52" i="9" s="1"/>
  <c r="E65" i="1" s="1"/>
  <c r="F51" i="9"/>
  <c r="E64" i="1" s="1"/>
  <c r="G86" i="7"/>
  <c r="M97" i="7" s="1"/>
  <c r="D42" i="4"/>
  <c r="D44" i="4" s="1"/>
  <c r="D45" i="4" s="1"/>
  <c r="B47" i="7"/>
  <c r="N19" i="1"/>
  <c r="J59" i="1"/>
  <c r="O50" i="2"/>
  <c r="Q61" i="2" s="1"/>
  <c r="O65" i="2" s="1"/>
  <c r="O54" i="2"/>
  <c r="R60" i="2" s="1"/>
  <c r="P64" i="2" s="1"/>
  <c r="F60" i="1"/>
  <c r="L88" i="7"/>
  <c r="H99" i="7" s="1"/>
  <c r="J74" i="7"/>
  <c r="E21" i="1"/>
  <c r="R31" i="7"/>
  <c r="M85" i="7"/>
  <c r="M40" i="4"/>
  <c r="M43" i="4" s="1"/>
  <c r="I18" i="1"/>
  <c r="P22" i="7"/>
  <c r="K85" i="7"/>
  <c r="J40" i="4"/>
  <c r="D18" i="1"/>
  <c r="N35" i="7"/>
  <c r="G24" i="9"/>
  <c r="G22" i="9"/>
  <c r="G49" i="9" s="1"/>
  <c r="F62" i="1" s="1"/>
  <c r="G48" i="9"/>
  <c r="F61" i="1" s="1"/>
  <c r="G40" i="4" l="1"/>
  <c r="G43" i="4" s="1"/>
  <c r="S18" i="1"/>
  <c r="G68" i="7"/>
  <c r="O21" i="1"/>
  <c r="H88" i="7"/>
  <c r="J99" i="7" s="1"/>
  <c r="P21" i="1"/>
  <c r="G70" i="7"/>
  <c r="S36" i="1"/>
  <c r="J36" i="1"/>
  <c r="K36" i="1" s="1"/>
  <c r="J73" i="1"/>
  <c r="J74" i="1" s="1"/>
  <c r="T35" i="1"/>
  <c r="U35" i="1" s="1"/>
  <c r="I35" i="1"/>
  <c r="K47" i="9"/>
  <c r="O55" i="2" s="1"/>
  <c r="R61" i="2" s="1"/>
  <c r="P65" i="2" s="1"/>
  <c r="D46" i="4"/>
  <c r="L49" i="7" s="1"/>
  <c r="J25" i="9"/>
  <c r="J52" i="9" s="1"/>
  <c r="I65" i="1" s="1"/>
  <c r="J51" i="9"/>
  <c r="I64" i="1" s="1"/>
  <c r="G87" i="7"/>
  <c r="M98" i="7" s="1"/>
  <c r="D125" i="4"/>
  <c r="D124" i="4"/>
  <c r="M47" i="7"/>
  <c r="N20" i="1"/>
  <c r="K24" i="9"/>
  <c r="K22" i="9"/>
  <c r="K49" i="9" s="1"/>
  <c r="J62" i="1" s="1"/>
  <c r="K48" i="9"/>
  <c r="J61" i="1" s="1"/>
  <c r="G25" i="9"/>
  <c r="G52" i="9" s="1"/>
  <c r="F65" i="1" s="1"/>
  <c r="G51" i="9"/>
  <c r="F64" i="1" s="1"/>
  <c r="K86" i="7"/>
  <c r="D19" i="1"/>
  <c r="J42" i="4"/>
  <c r="D55" i="7"/>
  <c r="M86" i="7"/>
  <c r="M42" i="4"/>
  <c r="M44" i="4" s="1"/>
  <c r="I19" i="1"/>
  <c r="F42" i="7"/>
  <c r="J43" i="4"/>
  <c r="G88" i="7"/>
  <c r="M99" i="7" s="1"/>
  <c r="G66" i="7"/>
  <c r="N21" i="1"/>
  <c r="I86" i="7" l="1"/>
  <c r="I97" i="7" s="1"/>
  <c r="H51" i="7"/>
  <c r="S19" i="1"/>
  <c r="G42" i="4"/>
  <c r="G44" i="4" s="1"/>
  <c r="G45" i="4" s="1"/>
  <c r="J60" i="1"/>
  <c r="D47" i="4"/>
  <c r="F68" i="7" s="1"/>
  <c r="J44" i="4"/>
  <c r="K87" i="7" s="1"/>
  <c r="K25" i="9"/>
  <c r="K52" i="9" s="1"/>
  <c r="J65" i="1" s="1"/>
  <c r="K51" i="9"/>
  <c r="J64" i="1" s="1"/>
  <c r="M87" i="7"/>
  <c r="M45" i="4"/>
  <c r="I20" i="1"/>
  <c r="Q42" i="7"/>
  <c r="M46" i="4"/>
  <c r="M125" i="4"/>
  <c r="M124" i="4"/>
  <c r="G125" i="4" l="1"/>
  <c r="G46" i="4"/>
  <c r="I87" i="7"/>
  <c r="I98" i="7" s="1"/>
  <c r="G124" i="4"/>
  <c r="S51" i="7"/>
  <c r="S20" i="1"/>
  <c r="I36" i="1"/>
  <c r="T36" i="1"/>
  <c r="U36" i="1" s="1"/>
  <c r="D49" i="4"/>
  <c r="D50" i="4" s="1"/>
  <c r="U84" i="4"/>
  <c r="O48" i="7" s="1"/>
  <c r="J124" i="4"/>
  <c r="BG124" i="4" s="1"/>
  <c r="J46" i="4"/>
  <c r="J47" i="4" s="1"/>
  <c r="J75" i="7" s="1"/>
  <c r="O55" i="7"/>
  <c r="D20" i="1"/>
  <c r="J45" i="4"/>
  <c r="I74" i="7" s="1"/>
  <c r="J125" i="4"/>
  <c r="BG125" i="4" s="1"/>
  <c r="T49" i="7"/>
  <c r="G47" i="4"/>
  <c r="N68" i="7" s="1"/>
  <c r="O41" i="7"/>
  <c r="M47" i="4"/>
  <c r="J60" i="7" s="1"/>
  <c r="K61" i="7"/>
  <c r="M88" i="7"/>
  <c r="I21" i="1"/>
  <c r="M70" i="7"/>
  <c r="I88" i="7"/>
  <c r="I99" i="7" s="1"/>
  <c r="S21" i="1"/>
  <c r="O56" i="7" l="1"/>
  <c r="V84" i="4"/>
  <c r="I67" i="7" s="1"/>
  <c r="D21" i="1"/>
  <c r="K88" i="7"/>
  <c r="D12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rFont val="Tahoma"/>
            <family val="2"/>
          </rPr>
          <t>Milan Zlatkovic:</t>
        </r>
        <r>
          <rPr>
            <sz val="9"/>
            <rFont val="Tahoma"/>
            <family val="2"/>
          </rPr>
          <t xml:space="preserve">
Seconds per phase</t>
        </r>
      </text>
    </comment>
    <comment ref="U8" authorId="0" shapeId="0" xr:uid="{00000000-0006-0000-0100-000002000000}">
      <text>
        <r>
          <rPr>
            <b/>
            <sz val="9"/>
            <rFont val="Tahoma"/>
            <family val="2"/>
          </rPr>
          <t>Milan Zlatkovic:</t>
        </r>
        <r>
          <rPr>
            <sz val="9"/>
            <rFont val="Tahoma"/>
            <family val="2"/>
          </rPr>
          <t xml:space="preserve">
&gt;=50 s</t>
        </r>
      </text>
    </comment>
    <comment ref="U9" authorId="0" shapeId="0" xr:uid="{00000000-0006-0000-0100-000003000000}">
      <text>
        <r>
          <rPr>
            <b/>
            <sz val="9"/>
            <rFont val="Tahoma"/>
            <family val="2"/>
          </rPr>
          <t>Milan Zlatkovic:</t>
        </r>
        <r>
          <rPr>
            <sz val="9"/>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D3" authorId="0" shapeId="0" xr:uid="{00000000-0006-0000-0200-000001000000}">
      <text>
        <r>
          <rPr>
            <b/>
            <sz val="9"/>
            <rFont val="Tahoma"/>
            <family val="2"/>
          </rPr>
          <t>Milan Zlatkovic:</t>
        </r>
        <r>
          <rPr>
            <sz val="9"/>
            <rFont val="Tahoma"/>
            <family val="2"/>
          </rPr>
          <t xml:space="preserve">
If no dedicated right turn lane, the volumes for through and right are summed</t>
        </r>
      </text>
    </comment>
    <comment ref="B14" authorId="0" shapeId="0" xr:uid="{00000000-0006-0000-0200-000002000000}">
      <text>
        <r>
          <rPr>
            <b/>
            <sz val="9"/>
            <rFont val="Tahoma"/>
            <family val="2"/>
          </rPr>
          <t>Milan Zlatkovic:</t>
        </r>
        <r>
          <rPr>
            <sz val="9"/>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rFont val="Tahoma"/>
            <family val="2"/>
          </rPr>
          <t>Milan Zlatkovic:</t>
        </r>
        <r>
          <rPr>
            <sz val="9"/>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rFont val="Tahoma"/>
            <family val="2"/>
          </rPr>
          <t>Milan Zlatkovic:</t>
        </r>
        <r>
          <rPr>
            <sz val="9"/>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rFont val="Tahoma"/>
            <family val="2"/>
          </rPr>
          <t>Milan Zlatkovic:</t>
        </r>
        <r>
          <rPr>
            <sz val="9"/>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rFont val="Tahoma"/>
            <family val="2"/>
          </rPr>
          <t>Milan Zlatkovic:</t>
        </r>
        <r>
          <rPr>
            <sz val="9"/>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rFont val="Tahoma"/>
            <family val="2"/>
          </rPr>
          <t>Milan Zlatkovic:</t>
        </r>
        <r>
          <rPr>
            <sz val="9"/>
            <rFont val="Tahoma"/>
            <family val="2"/>
          </rPr>
          <t xml:space="preserve">
Prot+perm included here</t>
        </r>
      </text>
    </comment>
    <comment ref="V15" authorId="0" shapeId="0" xr:uid="{00000000-0006-0000-0300-000006000000}">
      <text>
        <r>
          <rPr>
            <b/>
            <sz val="9"/>
            <rFont val="Tahoma"/>
            <family val="2"/>
          </rPr>
          <t>Milan Zlatkovic:</t>
        </r>
        <r>
          <rPr>
            <sz val="9"/>
            <rFont val="Tahoma"/>
            <family val="2"/>
          </rPr>
          <t xml:space="preserve">
Prot+perm included here</t>
        </r>
      </text>
    </comment>
    <comment ref="AM15" authorId="0" shapeId="0" xr:uid="{00000000-0006-0000-0300-000007000000}">
      <text>
        <r>
          <rPr>
            <b/>
            <sz val="9"/>
            <rFont val="Tahoma"/>
            <family val="2"/>
          </rPr>
          <t>Milan Zlatkovic:</t>
        </r>
        <r>
          <rPr>
            <sz val="9"/>
            <rFont val="Tahoma"/>
            <family val="2"/>
          </rPr>
          <t xml:space="preserve">
Prot+perm included here</t>
        </r>
      </text>
    </comment>
    <comment ref="BD15" authorId="0" shapeId="0" xr:uid="{00000000-0006-0000-0300-000008000000}">
      <text>
        <r>
          <rPr>
            <b/>
            <sz val="9"/>
            <rFont val="Tahoma"/>
            <family val="2"/>
          </rPr>
          <t>Milan Zlatkovic:</t>
        </r>
        <r>
          <rPr>
            <sz val="9"/>
            <rFont val="Tahoma"/>
            <family val="2"/>
          </rPr>
          <t xml:space="preserve">
Prot+perm included here</t>
        </r>
      </text>
    </comment>
    <comment ref="D23" authorId="0" shapeId="0" xr:uid="{00000000-0006-0000-0300-000009000000}">
      <text>
        <r>
          <rPr>
            <b/>
            <sz val="9"/>
            <rFont val="Tahoma"/>
            <family val="2"/>
          </rPr>
          <t>Milan Zlatkovic:</t>
        </r>
        <r>
          <rPr>
            <sz val="9"/>
            <rFont val="Tahoma"/>
            <family val="2"/>
          </rPr>
          <t xml:space="preserve">
Prot+perm included here</t>
        </r>
      </text>
    </comment>
    <comment ref="V23" authorId="0" shapeId="0" xr:uid="{00000000-0006-0000-0300-00000A000000}">
      <text>
        <r>
          <rPr>
            <b/>
            <sz val="9"/>
            <rFont val="Tahoma"/>
            <family val="2"/>
          </rPr>
          <t>Milan Zlatkovic:</t>
        </r>
        <r>
          <rPr>
            <sz val="9"/>
            <rFont val="Tahoma"/>
            <family val="2"/>
          </rPr>
          <t xml:space="preserve">
Prot+perm included here</t>
        </r>
      </text>
    </comment>
    <comment ref="AM23" authorId="0" shapeId="0" xr:uid="{00000000-0006-0000-0300-00000B000000}">
      <text>
        <r>
          <rPr>
            <b/>
            <sz val="9"/>
            <rFont val="Tahoma"/>
            <family val="2"/>
          </rPr>
          <t>Milan Zlatkovic:</t>
        </r>
        <r>
          <rPr>
            <sz val="9"/>
            <rFont val="Tahoma"/>
            <family val="2"/>
          </rPr>
          <t xml:space="preserve">
Prot+perm included here</t>
        </r>
      </text>
    </comment>
    <comment ref="BD23" authorId="0" shapeId="0" xr:uid="{00000000-0006-0000-0300-00000C000000}">
      <text>
        <r>
          <rPr>
            <b/>
            <sz val="9"/>
            <rFont val="Tahoma"/>
            <family val="2"/>
          </rPr>
          <t>Milan Zlatkovic:</t>
        </r>
        <r>
          <rPr>
            <sz val="9"/>
            <rFont val="Tahoma"/>
            <family val="2"/>
          </rPr>
          <t xml:space="preserve">
Prot+perm included here</t>
        </r>
      </text>
    </comment>
    <comment ref="D29" authorId="0" shapeId="0" xr:uid="{00000000-0006-0000-0300-00000D000000}">
      <text>
        <r>
          <rPr>
            <b/>
            <sz val="9"/>
            <rFont val="Tahoma"/>
            <family val="2"/>
          </rPr>
          <t>Milan Zlatkovic:</t>
        </r>
        <r>
          <rPr>
            <sz val="9"/>
            <rFont val="Tahoma"/>
            <family val="2"/>
          </rPr>
          <t xml:space="preserve">
Prot+perm included here</t>
        </r>
      </text>
    </comment>
    <comment ref="V29" authorId="0" shapeId="0" xr:uid="{00000000-0006-0000-0300-00000E000000}">
      <text>
        <r>
          <rPr>
            <b/>
            <sz val="9"/>
            <rFont val="Tahoma"/>
            <family val="2"/>
          </rPr>
          <t>Milan Zlatkovic:</t>
        </r>
        <r>
          <rPr>
            <sz val="9"/>
            <rFont val="Tahoma"/>
            <family val="2"/>
          </rPr>
          <t xml:space="preserve">
Prot+perm included here</t>
        </r>
      </text>
    </comment>
    <comment ref="AM29" authorId="0" shapeId="0" xr:uid="{00000000-0006-0000-0300-00000F000000}">
      <text>
        <r>
          <rPr>
            <b/>
            <sz val="9"/>
            <rFont val="Tahoma"/>
            <family val="2"/>
          </rPr>
          <t>Milan Zlatkovic:</t>
        </r>
        <r>
          <rPr>
            <sz val="9"/>
            <rFont val="Tahoma"/>
            <family val="2"/>
          </rPr>
          <t xml:space="preserve">
Prot+perm included here</t>
        </r>
      </text>
    </comment>
    <comment ref="BD29" authorId="0" shapeId="0" xr:uid="{00000000-0006-0000-0300-000010000000}">
      <text>
        <r>
          <rPr>
            <b/>
            <sz val="9"/>
            <rFont val="Tahoma"/>
            <family val="2"/>
          </rPr>
          <t>Milan Zlatkovic:</t>
        </r>
        <r>
          <rPr>
            <sz val="9"/>
            <rFont val="Tahoma"/>
            <family val="2"/>
          </rPr>
          <t xml:space="preserve">
Prot+perm included here</t>
        </r>
      </text>
    </comment>
    <comment ref="D33" authorId="0" shapeId="0" xr:uid="{00000000-0006-0000-0300-000011000000}">
      <text>
        <r>
          <rPr>
            <b/>
            <sz val="9"/>
            <rFont val="Tahoma"/>
            <family val="2"/>
          </rPr>
          <t>Milan Zlatkovic:</t>
        </r>
        <r>
          <rPr>
            <sz val="9"/>
            <rFont val="Tahoma"/>
            <family val="2"/>
          </rPr>
          <t xml:space="preserve">
Prot+perm included here</t>
        </r>
      </text>
    </comment>
    <comment ref="V33" authorId="0" shapeId="0" xr:uid="{00000000-0006-0000-0300-000012000000}">
      <text>
        <r>
          <rPr>
            <b/>
            <sz val="9"/>
            <rFont val="Tahoma"/>
            <family val="2"/>
          </rPr>
          <t>Milan Zlatkovic:</t>
        </r>
        <r>
          <rPr>
            <sz val="9"/>
            <rFont val="Tahoma"/>
            <family val="2"/>
          </rPr>
          <t xml:space="preserve">
Prot+perm included here</t>
        </r>
      </text>
    </comment>
    <comment ref="AM33" authorId="0" shapeId="0" xr:uid="{00000000-0006-0000-0300-000013000000}">
      <text>
        <r>
          <rPr>
            <b/>
            <sz val="9"/>
            <rFont val="Tahoma"/>
            <family val="2"/>
          </rPr>
          <t>Milan Zlatkovic:</t>
        </r>
        <r>
          <rPr>
            <sz val="9"/>
            <rFont val="Tahoma"/>
            <family val="2"/>
          </rPr>
          <t xml:space="preserve">
Prot+perm included here</t>
        </r>
      </text>
    </comment>
    <comment ref="BD33" authorId="0" shapeId="0" xr:uid="{00000000-0006-0000-0300-000014000000}">
      <text>
        <r>
          <rPr>
            <b/>
            <sz val="9"/>
            <rFont val="Tahoma"/>
            <family val="2"/>
          </rPr>
          <t>Milan Zlatkovic:</t>
        </r>
        <r>
          <rPr>
            <sz val="9"/>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rFont val="Tahoma"/>
            <family val="2"/>
          </rPr>
          <t>Milan Zlatkovic:</t>
        </r>
        <r>
          <rPr>
            <sz val="9"/>
            <rFont val="Tahoma"/>
            <family val="2"/>
          </rPr>
          <t xml:space="preserve">
Incorporates No of lanes times 12 feet, plus two 6-foot shoulders</t>
        </r>
      </text>
    </comment>
    <comment ref="B9" authorId="0" shapeId="0" xr:uid="{00000000-0006-0000-0700-000002000000}">
      <text>
        <r>
          <rPr>
            <b/>
            <sz val="9"/>
            <rFont val="Tahoma"/>
            <family val="2"/>
          </rPr>
          <t>Milan Zlatkovic:</t>
        </r>
        <r>
          <rPr>
            <sz val="9"/>
            <rFont val="Tahoma"/>
            <family val="2"/>
          </rPr>
          <t xml:space="preserve">
If the split is less than 15 seconds, no ped crossing</t>
        </r>
      </text>
    </comment>
    <comment ref="B10" authorId="0" shapeId="0" xr:uid="{00000000-0006-0000-0700-000003000000}">
      <text>
        <r>
          <rPr>
            <b/>
            <sz val="9"/>
            <rFont val="Tahoma"/>
            <family val="2"/>
          </rPr>
          <t>Milan Zlatkovic:</t>
        </r>
        <r>
          <rPr>
            <sz val="9"/>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000-000001000000}">
      <text>
        <r>
          <rPr>
            <b/>
            <sz val="9"/>
            <rFont val="Tahoma"/>
            <family val="2"/>
          </rPr>
          <t>Milan Zlatkovic:</t>
        </r>
        <r>
          <rPr>
            <sz val="9"/>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<sst xmlns="http://schemas.openxmlformats.org/spreadsheetml/2006/main" count="1494" uniqueCount="645">
  <si>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</si>
  <si>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</si>
  <si>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</si>
  <si>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</si>
  <si>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</si>
  <si>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</si>
  <si>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</si>
  <si>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</si>
  <si>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</si>
  <si>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</si>
  <si>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</si>
  <si>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</si>
  <si>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</si>
  <si>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</si>
  <si>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</si>
  <si>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</si>
  <si>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</si>
  <si>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</si>
  <si>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</si>
  <si>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</si>
  <si>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</si>
  <si>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</si>
  <si>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</si>
  <si>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</si>
  <si>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</si>
  <si>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</si>
  <si>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</si>
  <si>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</si>
  <si>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</si>
  <si>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</si>
  <si>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</si>
  <si>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</si>
  <si>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</si>
  <si>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</si>
  <si>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</si>
  <si>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</si>
  <si>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TurnVolume</t>
  </si>
  <si>
    <t>Lanes</t>
  </si>
  <si>
    <t>Shared</t>
  </si>
  <si>
    <t>Width</t>
  </si>
  <si>
    <t>Storage</t>
  </si>
  <si>
    <t>StLanes</t>
  </si>
  <si>
    <t>Grade</t>
  </si>
  <si>
    <t>Speed</t>
  </si>
  <si>
    <t>FirstDetect</t>
  </si>
  <si>
    <t>LastDetect</t>
  </si>
  <si>
    <t>Phase1</t>
  </si>
  <si>
    <t>PermPhase1</t>
  </si>
  <si>
    <t>DetectPhase1</t>
  </si>
  <si>
    <t>EffectiveGreen</t>
  </si>
  <si>
    <t>Capacity</t>
  </si>
  <si>
    <t>V/C</t>
  </si>
  <si>
    <t>Delay</t>
  </si>
  <si>
    <t>LOS</t>
  </si>
  <si>
    <t>IdealFlow</t>
  </si>
  <si>
    <t>LostTime</t>
  </si>
  <si>
    <t>SatFlowProt</t>
  </si>
  <si>
    <t>SatFlowPerm</t>
  </si>
  <si>
    <t>SatFlowRTOR</t>
  </si>
  <si>
    <t>HeadwayFact</t>
  </si>
  <si>
    <t>Volume</t>
  </si>
  <si>
    <t>Peds</t>
  </si>
  <si>
    <t>Bicycles</t>
  </si>
  <si>
    <t>PHF</t>
  </si>
  <si>
    <t>Growth</t>
  </si>
  <si>
    <t>HeavyVehicles</t>
  </si>
  <si>
    <t>BusStops</t>
  </si>
  <si>
    <t>Phase start</t>
  </si>
  <si>
    <t>Phase end</t>
  </si>
  <si>
    <t>TravelTime</t>
  </si>
  <si>
    <t>Street Name</t>
  </si>
  <si>
    <t>DischargeRate</t>
  </si>
  <si>
    <t>S1</t>
  </si>
  <si>
    <t>S2</t>
  </si>
  <si>
    <t>S3</t>
  </si>
  <si>
    <t>S4</t>
  </si>
  <si>
    <t>S5</t>
  </si>
  <si>
    <t>S6</t>
  </si>
  <si>
    <t>S7</t>
  </si>
  <si>
    <t>S8</t>
  </si>
  <si>
    <t>CL</t>
  </si>
  <si>
    <t>OFF</t>
  </si>
  <si>
    <t>LD</t>
  </si>
  <si>
    <t>REF</t>
  </si>
  <si>
    <t>BRP</t>
  </si>
  <si>
    <t>Note: some calculation sheets are hidden!!!</t>
  </si>
  <si>
    <t>MinGreen</t>
  </si>
  <si>
    <t>DEVELOPED BY: MILAN ZLATKOVIC, milan@trafficlab.utah.edu, 801-819-5925</t>
  </si>
  <si>
    <t>SHEET 1 COMMUNICATES WITH NEXTA FOR PERFORMING SIGNAL CONTROL ESTIMATION IN MESOSIMULATION AND EXPORTING UTDF FORMATS; DO NOT AMEND THIS SHEET. FINAL RESULTS ARE GIVEN IN SUMMARY SHEET</t>
  </si>
  <si>
    <t>MaxGreen</t>
  </si>
  <si>
    <r>
      <rPr>
        <b/>
        <sz val="11"/>
        <color theme="1"/>
        <rFont val="宋体"/>
        <family val="2"/>
        <scheme val="minor"/>
      </rPr>
      <t xml:space="preserve">COPYRIGHT </t>
    </r>
    <r>
      <rPr>
        <b/>
        <sz val="11"/>
        <color indexed="8"/>
        <rFont val="Calibri"/>
        <family val="2"/>
      </rPr>
      <t>© 2012 MILAN ZLATKOVIC</t>
    </r>
  </si>
  <si>
    <t>VehExt</t>
  </si>
  <si>
    <t>TimeBeforeReduce</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</si>
  <si>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</si>
  <si>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</si>
  <si>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</si>
  <si>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</si>
  <si>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</si>
  <si>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</si>
  <si>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</si>
  <si>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</si>
  <si>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</si>
  <si>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</si>
  <si>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</si>
  <si>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</si>
  <si>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</si>
  <si>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</si>
  <si>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</si>
  <si>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</si>
  <si>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</si>
  <si>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</si>
  <si>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</si>
  <si>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DisTime/hr</t>
  </si>
  <si>
    <t>Movement</t>
  </si>
  <si>
    <t>Permitted LT flag</t>
  </si>
  <si>
    <t>Match reference</t>
  </si>
  <si>
    <t>Effective green ref</t>
  </si>
  <si>
    <t>Effective green</t>
  </si>
  <si>
    <t>Effective start</t>
  </si>
  <si>
    <t>Not used</t>
  </si>
  <si>
    <t>Effective end</t>
  </si>
  <si>
    <t>Movement correspond</t>
  </si>
  <si>
    <t>Value of Time (VOT) $/hr</t>
  </si>
  <si>
    <t>Cars</t>
  </si>
  <si>
    <t>Street name:</t>
  </si>
  <si>
    <t>Minor</t>
  </si>
  <si>
    <t>Transit Frq</t>
  </si>
  <si>
    <t>bus/h</t>
  </si>
  <si>
    <t>Trucks</t>
  </si>
  <si>
    <t>Ideal So</t>
  </si>
  <si>
    <t>Truck %</t>
  </si>
  <si>
    <t>SB speed</t>
  </si>
  <si>
    <t>SB peds?</t>
  </si>
  <si>
    <t>PHF:</t>
  </si>
  <si>
    <t>Yes</t>
  </si>
  <si>
    <t>Ped Volume</t>
  </si>
  <si>
    <t>Bike volume</t>
  </si>
  <si>
    <t>HGV %:</t>
  </si>
  <si>
    <t>No lanes</t>
  </si>
  <si>
    <t>RTOR %</t>
  </si>
  <si>
    <t>Lost time (s)</t>
  </si>
  <si>
    <r>
      <rPr>
        <sz val="10"/>
        <rFont val="Times New Roman"/>
        <family val="1"/>
      </rPr>
      <t>Area type</t>
    </r>
    <r>
      <rPr>
        <sz val="10"/>
        <rFont val="Symbol"/>
        <family val="1"/>
        <charset val="2"/>
      </rPr>
      <t>®</t>
    </r>
  </si>
  <si>
    <t>Other</t>
  </si>
  <si>
    <t>Min cycle (s)</t>
  </si>
  <si>
    <t>Max cycle (s)</t>
  </si>
  <si>
    <t>Ped speed (fps)</t>
  </si>
  <si>
    <t>No</t>
  </si>
  <si>
    <t>EB Speed</t>
  </si>
  <si>
    <t>WB speed</t>
  </si>
  <si>
    <t>Protected</t>
  </si>
  <si>
    <t>Major</t>
  </si>
  <si>
    <t>Permitted</t>
  </si>
  <si>
    <t>Protected + permitted</t>
  </si>
  <si>
    <t>EB peds?</t>
  </si>
  <si>
    <t>WB peds?</t>
  </si>
  <si>
    <t>CBD</t>
  </si>
  <si>
    <t>Manually input LT treatment?</t>
  </si>
  <si>
    <t>NB peds?</t>
  </si>
  <si>
    <t>NB speed</t>
  </si>
  <si>
    <t>DEVELOPED BY: MILAN ZLATKOVIC, mzlatkov@uwyo.edu</t>
  </si>
  <si>
    <t>COPYRIGHT © 2012-2020 MILAN ZLATKOVIC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</si>
  <si>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</si>
  <si>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some calculation cells are hidden!</t>
  </si>
  <si>
    <t>N-S Major</t>
  </si>
  <si>
    <t>E-W Major</t>
  </si>
  <si>
    <t>OppLanes</t>
  </si>
  <si>
    <t>Vlt*Vo</t>
  </si>
  <si>
    <t>1 input</t>
  </si>
  <si>
    <t>TurnVol</t>
  </si>
  <si>
    <t>InitPhase No.</t>
  </si>
  <si>
    <t>3-leg?</t>
  </si>
  <si>
    <t>No Lanes</t>
  </si>
  <si>
    <t>OppThruLanes</t>
  </si>
  <si>
    <t>ThruSpeedLimit</t>
  </si>
  <si>
    <t>Geometry check:</t>
  </si>
  <si>
    <t>Criteria:</t>
  </si>
  <si>
    <t>2 searching data</t>
  </si>
  <si>
    <t>LT lanes</t>
  </si>
  <si>
    <t>Prot criteria</t>
  </si>
  <si>
    <t>Decision</t>
  </si>
  <si>
    <t>OppThruSpeed</t>
  </si>
  <si>
    <t>Prot+perm</t>
  </si>
  <si>
    <t>*If one approach is prot+perm, so is the opposing</t>
  </si>
  <si>
    <t>LT volume</t>
  </si>
  <si>
    <t>Split phasing</t>
  </si>
  <si>
    <t>3: left turn processing</t>
  </si>
  <si>
    <t>Vlt*Vo for prot</t>
  </si>
  <si>
    <t>Total approach volumes</t>
  </si>
  <si>
    <t>EB</t>
  </si>
  <si>
    <t>Protected decision</t>
  </si>
  <si>
    <t>WB</t>
  </si>
  <si>
    <t>Ring-Barrier Structures</t>
  </si>
  <si>
    <t>perm vs. prot+perm criteria</t>
  </si>
  <si>
    <t>NB</t>
  </si>
  <si>
    <t>Protected or Prot+perm</t>
  </si>
  <si>
    <t>4. processing</t>
  </si>
  <si>
    <t>ShareLanes</t>
  </si>
  <si>
    <t>Split phase criteria</t>
  </si>
  <si>
    <t>SB</t>
  </si>
  <si>
    <t>Ring 1</t>
  </si>
  <si>
    <t>Ring 2</t>
  </si>
  <si>
    <t>5: decision</t>
  </si>
  <si>
    <t>Initial Decision</t>
  </si>
  <si>
    <t>All LTs permitted</t>
  </si>
  <si>
    <t>Final Decision</t>
  </si>
  <si>
    <t>Auto</t>
  </si>
  <si>
    <t>Manual</t>
  </si>
  <si>
    <t>Split phasing cases</t>
  </si>
  <si>
    <t>6: phase</t>
  </si>
  <si>
    <t>Protected Phase</t>
  </si>
  <si>
    <t>Permitted Phase</t>
  </si>
  <si>
    <t>NORTH</t>
  </si>
  <si>
    <t>7 ring structure</t>
  </si>
  <si>
    <t>Final Ring-Barrier Structure</t>
  </si>
  <si>
    <t>Ring-Barrier Movements</t>
  </si>
  <si>
    <t>Regular Ring-Barrier Structure</t>
  </si>
  <si>
    <t xml:space="preserve"> </t>
  </si>
  <si>
    <t>Split-phase Ring-Barrier Structure</t>
  </si>
  <si>
    <t>8. starting time</t>
  </si>
  <si>
    <t>Start times</t>
  </si>
  <si>
    <t>End times</t>
  </si>
  <si>
    <t>Phase 1</t>
  </si>
  <si>
    <t>Phase 2</t>
  </si>
  <si>
    <t>Phase 3</t>
  </si>
  <si>
    <t>Phase 4</t>
  </si>
  <si>
    <t>Phase 5</t>
  </si>
  <si>
    <t>Phase 6</t>
  </si>
  <si>
    <t>Phase 7</t>
  </si>
  <si>
    <t>Phase 8</t>
  </si>
  <si>
    <t>EB APPROACH</t>
  </si>
  <si>
    <t>WB APPROACH</t>
  </si>
  <si>
    <t>NB APPROACH</t>
  </si>
  <si>
    <t>SB APPROACH</t>
  </si>
  <si>
    <t>RIGHT TURNS</t>
  </si>
  <si>
    <t>Exclusive RT lane</t>
  </si>
  <si>
    <t>Shared RT lane</t>
  </si>
  <si>
    <t>RT volume, Vr (vph)</t>
  </si>
  <si>
    <t>No of excl. RT lanes, Nrt</t>
  </si>
  <si>
    <t>RT adj factor, frt</t>
  </si>
  <si>
    <t>RT vol per lane, Vrt (vphpl)</t>
  </si>
  <si>
    <t>LEFT TURNS</t>
  </si>
  <si>
    <t>LT volume, Vl (vph)</t>
  </si>
  <si>
    <t>Opposing mainline vol, Vo (vph)</t>
  </si>
  <si>
    <t>No of excl. LT lanes, Nlt</t>
  </si>
  <si>
    <t>LT adj factor, flt</t>
  </si>
  <si>
    <t>LT vol per lane Vlt (vphpl)</t>
  </si>
  <si>
    <t>Permitted LT</t>
  </si>
  <si>
    <t>Protected LT</t>
  </si>
  <si>
    <t>Not Opposed LT</t>
  </si>
  <si>
    <t>single lane, regular intersection</t>
  </si>
  <si>
    <t>&gt;=2 lanes, regular int.</t>
  </si>
  <si>
    <t>single lane, 1-way or 3-leg int.</t>
  </si>
  <si>
    <t>&gt;=2 lanes, 1-way or 3-leg int.</t>
  </si>
  <si>
    <t>THROUGH MOVEMENT</t>
  </si>
  <si>
    <t>Through volume, Vt (vph)</t>
  </si>
  <si>
    <t>Parking adjustment factor, fp</t>
  </si>
  <si>
    <t>Number of through lanes, Nth</t>
  </si>
  <si>
    <t>Total approach volume, Vtot (vph)</t>
  </si>
  <si>
    <t>THROUGH MOVEMENT WITH EXCLUSIVE LT LANE</t>
  </si>
  <si>
    <t>Through volume per lane, Vth (vphpl)</t>
  </si>
  <si>
    <t>Critical lane volume,Vcl (vph) Max[Vlt, Vrt (exclusive), Vth]</t>
  </si>
  <si>
    <t>THROUGH MOVEMENT WITH    SHARED LT LANE</t>
  </si>
  <si>
    <t>Proportion of left turns, Plt</t>
  </si>
  <si>
    <t>Equivalence factor, El1</t>
  </si>
  <si>
    <t>Shared lane LT adjustment factor, fdl</t>
  </si>
  <si>
    <t>Critical lane volume,Vcl (vph)      Max[Vrt (exclusive), Vth]</t>
  </si>
  <si>
    <t>Opposing through volume (vph)</t>
  </si>
  <si>
    <t>Type of LT lane</t>
  </si>
  <si>
    <t>Exclusive</t>
  </si>
  <si>
    <t>Sp</t>
  </si>
  <si>
    <t>tfh</t>
  </si>
  <si>
    <t>Ish</t>
  </si>
  <si>
    <t>fdl for Permitted LT</t>
  </si>
  <si>
    <t>&gt;=2 LT lanes</t>
  </si>
  <si>
    <t>only 1 lane for all</t>
  </si>
  <si>
    <t>fdl min</t>
  </si>
  <si>
    <t>fdl for Prot+perm LT</t>
  </si>
  <si>
    <t>Vo&lt;1220 vph</t>
  </si>
  <si>
    <t>Vo&gt;=1220 vph</t>
  </si>
  <si>
    <t>Plt Exclusive</t>
  </si>
  <si>
    <t>Plt Shared</t>
  </si>
  <si>
    <t>LOOKUP PHASE PLAN</t>
  </si>
  <si>
    <t>So</t>
  </si>
  <si>
    <t>Phase Plan</t>
  </si>
  <si>
    <t>Eastbound</t>
  </si>
  <si>
    <t>Westbound</t>
  </si>
  <si>
    <t>Northbound</t>
  </si>
  <si>
    <t>Southbound</t>
  </si>
  <si>
    <t>EB-WB</t>
  </si>
  <si>
    <t>NB-SB</t>
  </si>
  <si>
    <t>Lost Time</t>
  </si>
  <si>
    <t>Phase</t>
  </si>
  <si>
    <t>Movement Code</t>
  </si>
  <si>
    <t>Critical Volume</t>
  </si>
  <si>
    <t>Min C</t>
  </si>
  <si>
    <t>Max C</t>
  </si>
  <si>
    <t>C1</t>
  </si>
  <si>
    <t>C2</t>
  </si>
  <si>
    <t>C3</t>
  </si>
  <si>
    <t>C4</t>
  </si>
  <si>
    <t>C5</t>
  </si>
  <si>
    <t>C6</t>
  </si>
  <si>
    <t>C7</t>
  </si>
  <si>
    <t>C8</t>
  </si>
  <si>
    <t>C9</t>
  </si>
  <si>
    <t>C10</t>
  </si>
  <si>
    <t>C11</t>
  </si>
  <si>
    <t>C12</t>
  </si>
  <si>
    <t>HGV%</t>
  </si>
  <si>
    <t>1a</t>
  </si>
  <si>
    <t>PhF</t>
  </si>
  <si>
    <t>Fhv</t>
  </si>
  <si>
    <t>1b</t>
  </si>
  <si>
    <t>Not opposed</t>
  </si>
  <si>
    <t>EBWBTH</t>
  </si>
  <si>
    <t>d1</t>
  </si>
  <si>
    <t>d2</t>
  </si>
  <si>
    <t>d3</t>
  </si>
  <si>
    <t>d4</t>
  </si>
  <si>
    <t>d5</t>
  </si>
  <si>
    <t>d6</t>
  </si>
  <si>
    <t>d7</t>
  </si>
  <si>
    <t>d8</t>
  </si>
  <si>
    <t>d9</t>
  </si>
  <si>
    <t>d10</t>
  </si>
  <si>
    <t>d11</t>
  </si>
  <si>
    <t>CompVol</t>
  </si>
  <si>
    <t>No of lanes</t>
  </si>
  <si>
    <t>1c</t>
  </si>
  <si>
    <t>NoLanes</t>
  </si>
  <si>
    <t>Exclusive Through</t>
  </si>
  <si>
    <t>2a</t>
  </si>
  <si>
    <t>VolPerLane</t>
  </si>
  <si>
    <t>2b</t>
  </si>
  <si>
    <t>WBTHLT</t>
  </si>
  <si>
    <t>RTORreduction</t>
  </si>
  <si>
    <t>3a</t>
  </si>
  <si>
    <t>ProtectedA</t>
  </si>
  <si>
    <t>EBTHLT</t>
  </si>
  <si>
    <t>LaneGroupFlow</t>
  </si>
  <si>
    <t>3b</t>
  </si>
  <si>
    <t>EBWBLT</t>
  </si>
  <si>
    <t>Min D</t>
  </si>
  <si>
    <t>Flu</t>
  </si>
  <si>
    <t>Opt C</t>
  </si>
  <si>
    <t>SatFlowRateProt</t>
  </si>
  <si>
    <t>RS</t>
  </si>
  <si>
    <t>OpposingVol4LT</t>
  </si>
  <si>
    <t>FollowUpHeadway</t>
  </si>
  <si>
    <t>Designation</t>
  </si>
  <si>
    <t>SatFlowRatePerm</t>
  </si>
  <si>
    <t>Not opposed?</t>
  </si>
  <si>
    <t>CritSum</t>
  </si>
  <si>
    <t>Prot+perm?</t>
  </si>
  <si>
    <t>LaneVolume</t>
  </si>
  <si>
    <t>Dominant?</t>
  </si>
  <si>
    <t>CritLaneVol</t>
  </si>
  <si>
    <t>CS</t>
  </si>
  <si>
    <t>Initial Code</t>
  </si>
  <si>
    <t>Prot Phase</t>
  </si>
  <si>
    <t>Exclusive Left</t>
  </si>
  <si>
    <t>Coded</t>
  </si>
  <si>
    <t>Green Time</t>
  </si>
  <si>
    <t>Perm phase</t>
  </si>
  <si>
    <t>EB-WB,NB-SB</t>
  </si>
  <si>
    <t>Lost time</t>
  </si>
  <si>
    <t>Reference</t>
  </si>
  <si>
    <t>NBSBTH</t>
  </si>
  <si>
    <t>CS/RS</t>
  </si>
  <si>
    <t>Sum of Lost Time</t>
  </si>
  <si>
    <t>min</t>
  </si>
  <si>
    <t>max</t>
  </si>
  <si>
    <t>C adopt</t>
  </si>
  <si>
    <t>Ccalc</t>
  </si>
  <si>
    <t>CcalcAdopt</t>
  </si>
  <si>
    <t>Cycle Calculated</t>
  </si>
  <si>
    <t>Min Cycle</t>
  </si>
  <si>
    <t>Min C Phasing</t>
  </si>
  <si>
    <t>SBTHLT</t>
  </si>
  <si>
    <t>Cycle Adopted</t>
  </si>
  <si>
    <t>NBTHLT</t>
  </si>
  <si>
    <t>VolForMaxG</t>
  </si>
  <si>
    <t>CycleCalc</t>
  </si>
  <si>
    <t>NBSBLT</t>
  </si>
  <si>
    <t>VolRef</t>
  </si>
  <si>
    <t>CycRef</t>
  </si>
  <si>
    <t>HCM Phase Duration</t>
  </si>
  <si>
    <t>CalcSplit</t>
  </si>
  <si>
    <t>DispGreen</t>
  </si>
  <si>
    <t>Color</t>
  </si>
  <si>
    <t>EffectiveGren</t>
  </si>
  <si>
    <t>A</t>
  </si>
  <si>
    <t>Green Ratio (g/c)</t>
  </si>
  <si>
    <t>L</t>
  </si>
  <si>
    <t>T</t>
  </si>
  <si>
    <t>R</t>
  </si>
  <si>
    <t>B</t>
  </si>
  <si>
    <t>C</t>
  </si>
  <si>
    <t>Cap (vph)</t>
  </si>
  <si>
    <t>D</t>
  </si>
  <si>
    <t>UnifDelay (s)</t>
  </si>
  <si>
    <t>IncDelay (s)</t>
  </si>
  <si>
    <t>MIN Splits!</t>
  </si>
  <si>
    <t>B1</t>
  </si>
  <si>
    <t>B2</t>
  </si>
  <si>
    <t>ControlDelay (s)</t>
  </si>
  <si>
    <t>E</t>
  </si>
  <si>
    <t>F</t>
  </si>
  <si>
    <t>Approach Delay (s)</t>
  </si>
  <si>
    <t>Approach LOS</t>
  </si>
  <si>
    <t>Intersection Delay (s)</t>
  </si>
  <si>
    <t>Under Capacity</t>
  </si>
  <si>
    <t>Intersection LOS</t>
  </si>
  <si>
    <t>Near Capacity</t>
  </si>
  <si>
    <t>Intersection V/C</t>
  </si>
  <si>
    <t>At Capacity</t>
  </si>
  <si>
    <t>Intersection Status</t>
  </si>
  <si>
    <t>Over Capacity</t>
  </si>
  <si>
    <t>Perm Left Cap</t>
  </si>
  <si>
    <t>Prot Left Cap</t>
  </si>
  <si>
    <t>ENSURING SIMULTANEOUS GAP AT BARRIER!!!</t>
  </si>
  <si>
    <t>Prot+perm L Cap</t>
  </si>
  <si>
    <t>C check</t>
  </si>
  <si>
    <t>Perm Left Shared Cap</t>
  </si>
  <si>
    <t>Perm Left Gd</t>
  </si>
  <si>
    <t>Prot Left Gd</t>
  </si>
  <si>
    <t>Prot+perm L Gd</t>
  </si>
  <si>
    <t>Perm LT Discharge</t>
  </si>
  <si>
    <t>Prot LT Discharge</t>
  </si>
  <si>
    <t>Prot+perm LT Discharge</t>
  </si>
  <si>
    <t>Gu</t>
  </si>
  <si>
    <t>Gp</t>
  </si>
  <si>
    <t>l*</t>
  </si>
  <si>
    <t>l</t>
  </si>
  <si>
    <t>e</t>
  </si>
  <si>
    <t>gu</t>
  </si>
  <si>
    <t>gp</t>
  </si>
  <si>
    <t>B1 check</t>
  </si>
  <si>
    <t>B2 check</t>
  </si>
  <si>
    <t>LTC</t>
  </si>
  <si>
    <t>gf 1LaneApp</t>
  </si>
  <si>
    <t>gf 2+lanesApp</t>
  </si>
  <si>
    <t>gf</t>
  </si>
  <si>
    <t>CapProtExclusive</t>
  </si>
  <si>
    <t>Cap PermLTExclusive</t>
  </si>
  <si>
    <t>EL1</t>
  </si>
  <si>
    <t>nq</t>
  </si>
  <si>
    <t>Plto</t>
  </si>
  <si>
    <t>EL2</t>
  </si>
  <si>
    <t>PL</t>
  </si>
  <si>
    <t>Cap PermLTShared</t>
  </si>
  <si>
    <t>CapProtPermExcl</t>
  </si>
  <si>
    <t>PEDS</t>
  </si>
  <si>
    <t>Ped walk</t>
  </si>
  <si>
    <t>Ped effective green</t>
  </si>
  <si>
    <t>Ped Dela (s/ped)</t>
  </si>
  <si>
    <t>Ped volume</t>
  </si>
  <si>
    <t>Ped delay (hr/peak hour)</t>
  </si>
  <si>
    <t>Total ped delay (hr/peak hour)</t>
  </si>
  <si>
    <t>Crossing distance (ft)</t>
  </si>
  <si>
    <t>Max crossing (ft)</t>
  </si>
  <si>
    <t>BIKES</t>
  </si>
  <si>
    <t>Bike capacity cb</t>
  </si>
  <si>
    <t>Bike volume (bike/hr)</t>
  </si>
  <si>
    <t>Bike green (s)</t>
  </si>
  <si>
    <t>Bike delay (s/bike)</t>
  </si>
  <si>
    <t>Total bike delay (hr/peak hr)</t>
  </si>
  <si>
    <t>COSTS</t>
  </si>
  <si>
    <t>User costs ($/hr)</t>
  </si>
  <si>
    <t>Total</t>
  </si>
  <si>
    <t>Bikes</t>
  </si>
  <si>
    <t>TOTAL USER COST</t>
  </si>
  <si>
    <t>West leg</t>
  </si>
  <si>
    <t>East leg</t>
  </si>
  <si>
    <t>South leg</t>
  </si>
  <si>
    <t>North leg</t>
  </si>
  <si>
    <t>Cat</t>
  </si>
  <si>
    <t>Name</t>
  </si>
  <si>
    <t>Min street spacing</t>
  </si>
  <si>
    <t>Street Width (ft)</t>
  </si>
  <si>
    <t>C-U</t>
  </si>
  <si>
    <t>R-U</t>
  </si>
  <si>
    <t>Category</t>
  </si>
  <si>
    <t>R-PU</t>
  </si>
  <si>
    <t>Min driveway spacing</t>
  </si>
  <si>
    <t>Min Signal Spacing (ft)</t>
  </si>
  <si>
    <t>Street Density (segment)</t>
  </si>
  <si>
    <t>Driveway Density (segment)</t>
  </si>
  <si>
    <t>TRANSIT</t>
  </si>
  <si>
    <t>Transit volume (bus/hr)</t>
  </si>
  <si>
    <t>Transit green (s)</t>
  </si>
  <si>
    <t>Transit delay (s/bus)</t>
  </si>
  <si>
    <t>Total transit delay (hr/peak hr)</t>
  </si>
  <si>
    <t>Movement_ID</t>
  </si>
  <si>
    <t>Phase_number</t>
  </si>
  <si>
    <t>Permissive</t>
  </si>
  <si>
    <t>Protection_original</t>
  </si>
  <si>
    <t>Protected/Permissive</t>
  </si>
  <si>
    <t>Protection</t>
  </si>
  <si>
    <t>For data dictionary:</t>
  </si>
  <si>
    <t>node_id</t>
  </si>
  <si>
    <t>mvmt_id</t>
  </si>
  <si>
    <t>offroad_link_id</t>
  </si>
  <si>
    <t>phase_num</t>
  </si>
  <si>
    <t>protection</t>
  </si>
  <si>
    <t>notes</t>
  </si>
  <si>
    <t>Table 5-6 Maximum green duration as a function of cycle length and volume</t>
  </si>
  <si>
    <t>Added (not in Manual)</t>
  </si>
  <si>
    <t>Cycle Length (s)</t>
  </si>
  <si>
    <t>Phase volume per lane</t>
  </si>
  <si>
    <t>veh/hr/ln</t>
  </si>
  <si>
    <t>Maximum Green (Gmax) (s)</t>
  </si>
  <si>
    <t>Min</t>
  </si>
  <si>
    <t>from</t>
  </si>
  <si>
    <t>to</t>
  </si>
  <si>
    <t>Mov</t>
  </si>
  <si>
    <t>Splits</t>
  </si>
  <si>
    <t>StreetWidth</t>
  </si>
  <si>
    <t>LinkFFSpeed</t>
  </si>
  <si>
    <t>MovementRef</t>
  </si>
  <si>
    <t>AppSpeedLimit</t>
  </si>
  <si>
    <t>Yref</t>
  </si>
  <si>
    <t>All Red</t>
  </si>
  <si>
    <t>AllRedSpeedRef</t>
  </si>
  <si>
    <t>Don’t walk</t>
  </si>
  <si>
    <t>AllRedWidthRef</t>
  </si>
  <si>
    <t>Min Green</t>
  </si>
  <si>
    <t>Max Green</t>
  </si>
  <si>
    <t>Min Gap</t>
  </si>
  <si>
    <t>Ref</t>
  </si>
  <si>
    <t>DontWalkRef</t>
  </si>
  <si>
    <t>UsedDontWalk</t>
  </si>
  <si>
    <t>PedMinSplit</t>
  </si>
  <si>
    <t>Passage</t>
  </si>
  <si>
    <t>DetZoneLength</t>
  </si>
  <si>
    <t>DetZoneLRef</t>
  </si>
  <si>
    <t>Min B1</t>
  </si>
  <si>
    <t>Min B2</t>
  </si>
  <si>
    <t>SpeedRef</t>
  </si>
  <si>
    <t>Gap</t>
  </si>
  <si>
    <t>D1</t>
  </si>
  <si>
    <t>D2</t>
  </si>
  <si>
    <t>D3</t>
  </si>
  <si>
    <t>D4</t>
  </si>
  <si>
    <t>D5</t>
  </si>
  <si>
    <t>D6</t>
  </si>
  <si>
    <t>D7</t>
  </si>
  <si>
    <t>D8</t>
  </si>
  <si>
    <t>For phasing chart:</t>
  </si>
  <si>
    <t>Green</t>
  </si>
  <si>
    <t>Red</t>
  </si>
  <si>
    <t>red 1</t>
  </si>
  <si>
    <t>green</t>
  </si>
  <si>
    <t>yellow</t>
  </si>
  <si>
    <t>red 2</t>
  </si>
  <si>
    <t>Split</t>
  </si>
  <si>
    <t>Green start</t>
  </si>
  <si>
    <t>Yellow start</t>
  </si>
  <si>
    <t>Red start</t>
  </si>
  <si>
    <t>Split end</t>
  </si>
  <si>
    <t>TURNING VOLUMES (VPH)</t>
  </si>
  <si>
    <t>PHASE DESIGNATION (PHASE No)</t>
  </si>
  <si>
    <t>NO LANES</t>
  </si>
  <si>
    <t>SPLIT DURATIONS (S)</t>
  </si>
  <si>
    <t>MOVEMENT CAPACITIES (VPH)</t>
  </si>
  <si>
    <t>CONTROL DELAY (S)</t>
  </si>
  <si>
    <t>V/C RATIO</t>
  </si>
  <si>
    <t>INTERSECTION LEVEL OF SERVICE (LOS)</t>
  </si>
  <si>
    <t>ö</t>
  </si>
  <si>
    <t>ð</t>
  </si>
  <si>
    <t>÷</t>
  </si>
  <si>
    <t>ï</t>
  </si>
  <si>
    <t>õ</t>
  </si>
  <si>
    <t>ñ</t>
  </si>
  <si>
    <t>ø</t>
  </si>
  <si>
    <t>ò</t>
  </si>
  <si>
    <t>PhRef</t>
  </si>
  <si>
    <t>Split (s)</t>
  </si>
  <si>
    <t>Capacity (vph)</t>
  </si>
  <si>
    <t>Delay (s)</t>
  </si>
  <si>
    <t>signal_phase_id</t>
  </si>
  <si>
    <t>ring</t>
  </si>
  <si>
    <t>barrier</t>
  </si>
  <si>
    <t>timing_plan_id</t>
  </si>
  <si>
    <t>time_day</t>
  </si>
  <si>
    <t>cycle_length</t>
  </si>
  <si>
    <t>coord_node_id</t>
  </si>
  <si>
    <t>coord_phase</t>
  </si>
  <si>
    <t>offset</t>
  </si>
  <si>
    <t>timing_phase_id</t>
  </si>
  <si>
    <t>min_green</t>
  </si>
  <si>
    <t>max_green</t>
  </si>
  <si>
    <t>extension</t>
  </si>
  <si>
    <t>clearance</t>
  </si>
  <si>
    <t>walk_time</t>
  </si>
  <si>
    <t>ped_clearance</t>
  </si>
  <si>
    <t>signal_phase data dictionary</t>
  </si>
  <si>
    <t>Field</t>
  </si>
  <si>
    <t>Type</t>
  </si>
  <si>
    <t>Required?</t>
  </si>
  <si>
    <t>Comment</t>
  </si>
  <si>
    <t>Node_ID</t>
  </si>
  <si>
    <t>Optional</t>
  </si>
  <si>
    <t>Redundant with Movement ID, but helps with clarity. Foreign key</t>
  </si>
  <si>
    <t>Conditionally Required</t>
  </si>
  <si>
    <t>Foreign key. Either Movement_ID (for phases used by vehicles), or OffroadLink_id (for phases used by pedestrians) is required</t>
  </si>
  <si>
    <t>Offroad_Link_ID</t>
  </si>
  <si>
    <t>Foreign key</t>
  </si>
  <si>
    <t>INTEGER</t>
  </si>
  <si>
    <t>Required</t>
  </si>
  <si>
    <t>The phase number; each phase has one or more Movements associated with it</t>
  </si>
  <si>
    <t>TEXT</t>
  </si>
  <si>
    <t>Indicates whether the phase is Protected, Permissive, right-turn-on-red (RTOR).</t>
  </si>
  <si>
    <t>Text</t>
  </si>
  <si>
    <t>signal_phase_concurrency data dictionary</t>
  </si>
  <si>
    <t>Foreign key (Nodes table)</t>
  </si>
  <si>
    <t>Primary key</t>
  </si>
  <si>
    <t>signal_timing_plan data dictionary</t>
  </si>
  <si>
    <t>Timing_Plan_ID</t>
  </si>
  <si>
    <t>TimeDay_Set</t>
  </si>
  <si>
    <t>Cycle length in seconds</t>
  </si>
  <si>
    <t>For coordinated signals, the “master” signal location for coordination</t>
  </si>
  <si>
    <t>For coordinated signals, the phase at which coordination starts (time 0)</t>
  </si>
  <si>
    <t>Offset in seconds</t>
  </si>
  <si>
    <t>signal_timing_phase data dictionary</t>
  </si>
  <si>
    <t>Timing_Phase_ID</t>
  </si>
  <si>
    <t>The phase number; each phase has one or more movements associated with it</t>
  </si>
  <si>
    <t>The minimum green time in seconds for an actuated signal. Green time in seconds for a fixed time signal</t>
  </si>
  <si>
    <t>The maximum green time in seconds for an actuated signal; the default is minimum green plus one extension</t>
  </si>
  <si>
    <t>The number of seconds the green time is extended each time vehicles are detected</t>
  </si>
  <si>
    <t>Yellow interval plus all red interval</t>
  </si>
  <si>
    <t>If a pedestrian phase exists, the walk time in seconds</t>
  </si>
  <si>
    <t>If a pedestrian phase exists, the flashing don’t walk time.</t>
  </si>
  <si>
    <t>Width of Intersection vs All-red</t>
  </si>
  <si>
    <t>Approach speed (mph)</t>
  </si>
  <si>
    <t>Detector-Stop line distance (ft)</t>
  </si>
  <si>
    <t>MAH (s)</t>
  </si>
  <si>
    <t>Speed, mph</t>
  </si>
  <si>
    <t>Det. Zone length (ft)</t>
  </si>
  <si>
    <t>Extend (s)</t>
  </si>
  <si>
    <t>for MAH = 4s</t>
  </si>
  <si>
    <t>Passage (veh. Extension)</t>
  </si>
  <si>
    <t>speed/det zone</t>
  </si>
  <si>
    <t>for MAH = 2s</t>
  </si>
  <si>
    <t>WBT</t>
    <phoneticPr fontId="2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</si>
</sst>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6" x14ac:knownFonts="1">
    <font>
      <sz val="11"/>
      <color theme="1"/>
      <name val="宋体"/>
      <charset val="134"/>
      <scheme val="minor"/>
    </font>
    <font>
      <b/>
      <sz val="11"/>
      <color theme="1"/>
      <name val="宋体"/>
      <family val="2"/>
      <scheme val="minor"/>
    </font>
    <font>
      <sz val="11"/>
      <name val="宋体"/>
      <family val="2"/>
      <scheme val="minor"/>
    </font>
    <font>
      <b/>
      <sz val="11"/>
      <name val="宋体"/>
      <family val="2"/>
      <scheme val="minor"/>
    </font>
    <font>
      <sz val="11"/>
      <color theme="1"/>
      <name val="Wingdings"/>
      <charset val="2"/>
    </font>
    <font>
      <b/>
      <sz val="20"/>
      <color theme="1"/>
      <name val="Wingdings"/>
      <charset val="2"/>
    </font>
    <font>
      <b/>
      <sz val="18"/>
      <color theme="1"/>
      <name val="宋体"/>
      <family val="2"/>
      <scheme val="minor"/>
    </font>
    <font>
      <b/>
      <sz val="11"/>
      <color rgb="FFFF0000"/>
      <name val="宋体"/>
      <family val="2"/>
      <scheme val="minor"/>
    </font>
    <font>
      <sz val="10"/>
      <name val="Arial"/>
      <family val="2"/>
    </font>
    <font>
      <sz val="10"/>
      <name val="宋体"/>
      <family val="2"/>
      <scheme val="minor"/>
    </font>
    <font>
      <sz val="11"/>
      <color rgb="FFFF0000"/>
      <name val="宋体"/>
      <family val="2"/>
      <scheme val="minor"/>
    </font>
    <font>
      <sz val="10"/>
      <name val="Times New Roman"/>
      <family val="1"/>
    </font>
    <font>
      <sz val="10"/>
      <color theme="1"/>
      <name val="Times New Roman"/>
      <family val="1"/>
    </font>
    <font>
      <b/>
      <sz val="10"/>
      <name val="Times New Roman"/>
      <family val="1"/>
    </font>
    <font>
      <sz val="10"/>
      <color theme="0"/>
      <name val="Times New Roman"/>
      <family val="1"/>
    </font>
    <font>
      <sz val="12"/>
      <color theme="1"/>
      <name val="宋体"/>
      <family val="2"/>
      <scheme val="minor"/>
    </font>
    <font>
      <b/>
      <sz val="10"/>
      <color rgb="FFFF0000"/>
      <name val="Times New Roman"/>
      <family val="1"/>
    </font>
    <font>
      <b/>
      <sz val="10"/>
      <color theme="1"/>
      <name val="宋体"/>
      <family val="2"/>
      <scheme val="minor"/>
    </font>
    <font>
      <sz val="10"/>
      <name val="MS Sans Serif"/>
      <family val="2"/>
    </font>
    <font>
      <sz val="10"/>
      <name val="Symbol"/>
      <family val="1"/>
      <charset val="2"/>
    </font>
    <font>
      <b/>
      <sz val="11"/>
      <color indexed="8"/>
      <name val="Calibri"/>
      <family val="2"/>
    </font>
    <font>
      <sz val="9"/>
      <name val="Tahoma"/>
      <family val="2"/>
    </font>
    <font>
      <b/>
      <sz val="9"/>
      <name val="Tahoma"/>
      <family val="2"/>
    </font>
    <font>
      <sz val="11"/>
      <color theme="1"/>
      <name val="宋体"/>
      <family val="3"/>
      <charset val="134"/>
      <scheme val="minor"/>
    </font>
    <font>
      <b/>
      <sz val="16"/>
      <color rgb="FF000000"/>
      <name val="Calibri"/>
      <family val="2"/>
    </font>
    <font>
      <sz val="9"/>
      <name val="宋体"/>
      <family val="3"/>
      <charset val="134"/>
      <scheme val="minor"/>
    </font>
  </fonts>
  <fills count="2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theme="3" tint="0.79995117038483843"/>
        <bgColor indexed="64"/>
      </patternFill>
    </fill>
    <fill>
      <patternFill patternType="solid">
        <fgColor theme="9" tint="0.59999389629810485"/>
        <bgColor indexed="64"/>
      </patternFill>
    </fill>
    <fill>
      <patternFill patternType="solid">
        <fgColor rgb="FF00FF00"/>
        <bgColor indexed="64"/>
      </patternFill>
    </fill>
    <fill>
      <patternFill patternType="solid">
        <fgColor rgb="FFFC10F1"/>
        <bgColor indexed="64"/>
      </patternFill>
    </fill>
    <fill>
      <patternFill patternType="solid">
        <fgColor theme="9" tint="-0.249977111117893"/>
        <bgColor indexed="64"/>
      </patternFill>
    </fill>
    <fill>
      <patternFill patternType="solid">
        <fgColor theme="9" tint="0.39994506668294322"/>
        <bgColor indexed="64"/>
      </patternFill>
    </fill>
    <fill>
      <patternFill patternType="solid">
        <fgColor rgb="FF92D050"/>
        <bgColor indexed="64"/>
      </patternFill>
    </fill>
    <fill>
      <patternFill patternType="solid">
        <fgColor rgb="FF00B050"/>
        <bgColor indexed="64"/>
      </patternFill>
    </fill>
    <fill>
      <patternFill patternType="solid">
        <fgColor rgb="FF0070C0"/>
        <bgColor indexed="64"/>
      </patternFill>
    </fill>
    <fill>
      <patternFill patternType="solid">
        <fgColor theme="0" tint="-0.14996795556505021"/>
        <bgColor indexed="64"/>
      </patternFill>
    </fill>
    <fill>
      <patternFill patternType="solid">
        <fgColor rgb="FF00B0F0"/>
        <bgColor indexed="64"/>
      </patternFill>
    </fill>
    <fill>
      <patternFill patternType="solid">
        <fgColor theme="6" tint="0.79995117038483843"/>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diagonal/>
    </border>
    <border>
      <left/>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diagonal/>
    </border>
    <border>
      <left/>
      <right style="thin">
        <color auto="1"/>
      </right>
      <top/>
      <bottom style="thin">
        <color auto="1"/>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style="medium">
        <color auto="1"/>
      </bottom>
      <diagonal/>
    </border>
  </borders>
  <cellStyleXfs count="2">
    <xf numFmtId="0" fontId="0" fillId="0" borderId="0"/>
    <xf numFmtId="0" fontId="18" fillId="0" borderId="0"/>
  </cellStyleXfs>
  <cellXfs count="479">
    <xf numFmtId="0" fontId="0" fillId="0" borderId="0" xfId="0"/>
    <xf numFmtId="0" fontId="1" fillId="0" borderId="0" xfId="0" applyFont="1" applyAlignment="1">
      <alignment horizontal="center"/>
    </xf>
    <xf numFmtId="0" fontId="0" fillId="0" borderId="0" xfId="0" applyAlignment="1">
      <alignment horizontal="center"/>
    </xf>
    <xf numFmtId="0" fontId="1" fillId="2" borderId="0" xfId="0" applyFont="1" applyFill="1" applyAlignment="1">
      <alignment horizontal="center"/>
    </xf>
    <xf numFmtId="0" fontId="1" fillId="3" borderId="0" xfId="0" applyFont="1" applyFill="1"/>
    <xf numFmtId="0" fontId="0" fillId="2" borderId="0" xfId="0" applyFill="1" applyAlignment="1">
      <alignment horizontal="center"/>
    </xf>
    <xf numFmtId="0" fontId="0" fillId="3" borderId="0" xfId="0" applyFill="1" applyAlignment="1">
      <alignment horizontal="center"/>
    </xf>
    <xf numFmtId="0" fontId="1" fillId="0" borderId="0" xfId="0" applyFont="1"/>
    <xf numFmtId="0" fontId="0" fillId="4" borderId="0" xfId="0" applyFill="1" applyAlignment="1">
      <alignment horizontal="center"/>
    </xf>
    <xf numFmtId="0" fontId="0" fillId="2" borderId="0" xfId="0" applyFill="1"/>
    <xf numFmtId="0" fontId="0" fillId="0" borderId="0" xfId="0" applyAlignment="1"/>
    <xf numFmtId="0" fontId="1" fillId="0" borderId="0" xfId="0" applyFont="1" applyAlignment="1">
      <alignment horizontal="center" vertical="center"/>
    </xf>
    <xf numFmtId="0" fontId="0" fillId="0" borderId="0" xfId="0" applyAlignment="1">
      <alignment vertical="center"/>
    </xf>
    <xf numFmtId="0" fontId="0" fillId="0" borderId="0" xfId="0" applyAlignment="1">
      <alignment horizontal="left"/>
    </xf>
    <xf numFmtId="0" fontId="0" fillId="0" borderId="0" xfId="0" applyAlignment="1">
      <alignment horizontal="left" vertical="center"/>
    </xf>
    <xf numFmtId="0" fontId="0" fillId="0" borderId="0" xfId="0" applyFill="1"/>
    <xf numFmtId="0" fontId="0" fillId="0" borderId="0" xfId="0" applyNumberFormat="1"/>
    <xf numFmtId="0" fontId="0" fillId="0" borderId="0" xfId="0" applyNumberFormat="1" applyAlignment="1">
      <alignment horizontal="center"/>
    </xf>
    <xf numFmtId="0" fontId="0" fillId="0" borderId="0" xfId="0" applyFont="1"/>
    <xf numFmtId="0" fontId="0" fillId="5" borderId="0" xfId="0" applyFont="1" applyFill="1" applyAlignment="1">
      <alignment horizontal="center"/>
    </xf>
    <xf numFmtId="0" fontId="0" fillId="5" borderId="0" xfId="0" applyFill="1"/>
    <xf numFmtId="0" fontId="0" fillId="0" borderId="0" xfId="0" applyFont="1" applyFill="1" applyAlignment="1">
      <alignment horizontal="right"/>
    </xf>
    <xf numFmtId="0" fontId="0" fillId="5" borderId="0" xfId="0" applyFont="1" applyFill="1" applyAlignment="1">
      <alignment horizontal="left"/>
    </xf>
    <xf numFmtId="0" fontId="0" fillId="0" borderId="0" xfId="0" applyFont="1" applyFill="1"/>
    <xf numFmtId="0" fontId="2" fillId="0" borderId="0" xfId="0" applyFont="1"/>
    <xf numFmtId="0" fontId="2" fillId="0" borderId="0" xfId="0" applyFont="1" applyFill="1" applyAlignment="1">
      <alignment horizontal="left"/>
    </xf>
    <xf numFmtId="0" fontId="0" fillId="6" borderId="0" xfId="0" applyFill="1"/>
    <xf numFmtId="0" fontId="2" fillId="0" borderId="0" xfId="0" applyFont="1" applyBorder="1"/>
    <xf numFmtId="0" fontId="3" fillId="0" borderId="0" xfId="0" applyFont="1" applyFill="1" applyAlignment="1">
      <alignment horizontal="center"/>
    </xf>
    <xf numFmtId="0" fontId="2" fillId="5" borderId="0" xfId="0" applyFont="1" applyFill="1" applyAlignment="1">
      <alignment horizontal="left"/>
    </xf>
    <xf numFmtId="37" fontId="2" fillId="0" borderId="0" xfId="1" applyNumberFormat="1" applyFont="1" applyBorder="1" applyAlignment="1" applyProtection="1"/>
    <xf numFmtId="0" fontId="2" fillId="0" borderId="0" xfId="1" applyFont="1"/>
    <xf numFmtId="0" fontId="2" fillId="0" borderId="0" xfId="0" applyFont="1" applyBorder="1" applyAlignment="1">
      <alignment horizontal="left"/>
    </xf>
    <xf numFmtId="2" fontId="2" fillId="0" borderId="0" xfId="1" applyNumberFormat="1" applyFont="1" applyFill="1" applyBorder="1" applyAlignment="1" applyProtection="1"/>
    <xf numFmtId="18" fontId="3" fillId="0" borderId="0" xfId="1" applyNumberFormat="1" applyFont="1" applyFill="1" applyAlignment="1"/>
    <xf numFmtId="0" fontId="2" fillId="0" borderId="0" xfId="1" applyFont="1" applyAlignment="1"/>
    <xf numFmtId="0" fontId="2" fillId="5" borderId="0" xfId="1" applyFont="1" applyFill="1" applyAlignment="1">
      <alignment horizontal="left"/>
    </xf>
    <xf numFmtId="0" fontId="2" fillId="0" borderId="0" xfId="1" applyFont="1" applyBorder="1" applyProtection="1"/>
    <xf numFmtId="37" fontId="2" fillId="0" borderId="0" xfId="1" applyNumberFormat="1" applyFont="1" applyBorder="1" applyAlignment="1">
      <alignment horizontal="center"/>
    </xf>
    <xf numFmtId="0" fontId="2" fillId="0" borderId="0" xfId="1" applyFont="1" applyFill="1" applyBorder="1" applyProtection="1"/>
    <xf numFmtId="0" fontId="3" fillId="0" borderId="0" xfId="0" applyFont="1" applyFill="1" applyBorder="1" applyAlignment="1">
      <alignment horizontal="center"/>
    </xf>
    <xf numFmtId="0" fontId="2" fillId="0" borderId="0" xfId="1" applyFont="1" applyFill="1" applyAlignment="1">
      <alignment horizontal="center"/>
    </xf>
    <xf numFmtId="0" fontId="2" fillId="0" borderId="0" xfId="1" applyFont="1" applyFill="1" applyBorder="1" applyAlignment="1">
      <alignment horizontal="center"/>
    </xf>
    <xf numFmtId="0" fontId="0" fillId="5" borderId="0" xfId="0" applyFill="1" applyAlignment="1">
      <alignment horizontal="center"/>
    </xf>
    <xf numFmtId="0" fontId="1" fillId="7" borderId="0" xfId="0" applyFont="1" applyFill="1" applyAlignment="1">
      <alignment horizontal="center"/>
    </xf>
    <xf numFmtId="0" fontId="1" fillId="0" borderId="0" xfId="0" applyFont="1" applyFill="1" applyAlignment="1"/>
    <xf numFmtId="0" fontId="0" fillId="7" borderId="0" xfId="0" applyFill="1" applyAlignment="1">
      <alignment horizontal="center"/>
    </xf>
    <xf numFmtId="0" fontId="0" fillId="7" borderId="0" xfId="0" applyFont="1" applyFill="1" applyAlignment="1">
      <alignment horizontal="center"/>
    </xf>
    <xf numFmtId="0" fontId="0" fillId="7" borderId="0" xfId="0" applyFont="1" applyFill="1" applyAlignment="1">
      <alignment horizontal="right"/>
    </xf>
    <xf numFmtId="0" fontId="1" fillId="0" borderId="0" xfId="0" applyFont="1" applyFill="1" applyAlignment="1">
      <alignment vertical="center"/>
    </xf>
    <xf numFmtId="0" fontId="0" fillId="7" borderId="0" xfId="0" applyFont="1" applyFill="1" applyAlignment="1">
      <alignment horizontal="left"/>
    </xf>
    <xf numFmtId="0" fontId="2" fillId="0" borderId="0" xfId="0" applyFont="1" applyAlignment="1">
      <alignment horizontal="left"/>
    </xf>
    <xf numFmtId="0" fontId="0" fillId="7" borderId="0" xfId="0" applyFont="1" applyFill="1"/>
    <xf numFmtId="0" fontId="2" fillId="7" borderId="0" xfId="0" applyFont="1" applyFill="1" applyAlignment="1">
      <alignment horizontal="left"/>
    </xf>
    <xf numFmtId="0" fontId="2" fillId="7" borderId="0" xfId="1" applyFont="1" applyFill="1" applyAlignment="1">
      <alignment horizontal="left"/>
    </xf>
    <xf numFmtId="0" fontId="2" fillId="7" borderId="0" xfId="1" applyFont="1" applyFill="1" applyAlignment="1">
      <alignment horizontal="center"/>
    </xf>
    <xf numFmtId="0" fontId="2" fillId="7" borderId="0" xfId="1" applyFont="1" applyFill="1" applyBorder="1" applyAlignment="1">
      <alignment horizontal="center"/>
    </xf>
    <xf numFmtId="0" fontId="0" fillId="0" borderId="0" xfId="0" applyFill="1" applyAlignment="1">
      <alignment horizontal="center"/>
    </xf>
    <xf numFmtId="0" fontId="1" fillId="3" borderId="0" xfId="0" applyFont="1" applyFill="1" applyAlignment="1">
      <alignment horizontal="center"/>
    </xf>
    <xf numFmtId="2" fontId="0" fillId="0" borderId="0" xfId="0" applyNumberFormat="1" applyFont="1"/>
    <xf numFmtId="2" fontId="0" fillId="3" borderId="0" xfId="0" applyNumberFormat="1" applyFill="1" applyAlignment="1">
      <alignment horizontal="center"/>
    </xf>
    <xf numFmtId="2" fontId="0" fillId="3" borderId="0" xfId="0" applyNumberFormat="1" applyFont="1" applyFill="1" applyAlignment="1">
      <alignment horizontal="center"/>
    </xf>
    <xf numFmtId="2" fontId="0" fillId="3" borderId="0" xfId="0" applyNumberFormat="1" applyFont="1" applyFill="1" applyAlignment="1">
      <alignment horizontal="right"/>
    </xf>
    <xf numFmtId="2" fontId="0" fillId="3" borderId="0" xfId="0" applyNumberFormat="1" applyFill="1" applyAlignment="1">
      <alignment horizontal="left"/>
    </xf>
    <xf numFmtId="2" fontId="2" fillId="0" borderId="0" xfId="0" applyNumberFormat="1" applyFont="1"/>
    <xf numFmtId="2" fontId="2" fillId="0" borderId="0" xfId="0" applyNumberFormat="1" applyFont="1" applyBorder="1"/>
    <xf numFmtId="2" fontId="0" fillId="3" borderId="0" xfId="0" applyNumberFormat="1" applyFont="1" applyFill="1" applyAlignment="1">
      <alignment horizontal="left"/>
    </xf>
    <xf numFmtId="2" fontId="2" fillId="0" borderId="0" xfId="1" applyNumberFormat="1" applyFont="1" applyBorder="1" applyAlignment="1" applyProtection="1"/>
    <xf numFmtId="2" fontId="2" fillId="0" borderId="0" xfId="1" applyNumberFormat="1" applyFont="1"/>
    <xf numFmtId="2" fontId="2" fillId="0" borderId="0" xfId="0" applyNumberFormat="1" applyFont="1" applyAlignment="1">
      <alignment horizontal="left"/>
    </xf>
    <xf numFmtId="2" fontId="0" fillId="3" borderId="0" xfId="0" applyNumberFormat="1" applyFont="1" applyFill="1"/>
    <xf numFmtId="2" fontId="3" fillId="0" borderId="0" xfId="1" applyNumberFormat="1" applyFont="1" applyFill="1" applyAlignment="1"/>
    <xf numFmtId="2" fontId="2" fillId="0" borderId="0" xfId="1" applyNumberFormat="1" applyFont="1" applyAlignment="1"/>
    <xf numFmtId="2" fontId="2" fillId="3" borderId="0" xfId="0" applyNumberFormat="1" applyFont="1" applyFill="1" applyAlignment="1">
      <alignment horizontal="left"/>
    </xf>
    <xf numFmtId="2" fontId="2" fillId="0" borderId="0" xfId="1" applyNumberFormat="1" applyFont="1" applyBorder="1" applyProtection="1"/>
    <xf numFmtId="2" fontId="2" fillId="0" borderId="0" xfId="1" applyNumberFormat="1" applyFont="1" applyBorder="1" applyAlignment="1">
      <alignment horizontal="center"/>
    </xf>
    <xf numFmtId="2" fontId="2" fillId="0" borderId="0" xfId="1" applyNumberFormat="1" applyFont="1" applyFill="1" applyBorder="1" applyProtection="1"/>
    <xf numFmtId="2" fontId="3" fillId="0" borderId="0" xfId="0" applyNumberFormat="1" applyFont="1" applyFill="1" applyBorder="1" applyAlignment="1">
      <alignment horizontal="center"/>
    </xf>
    <xf numFmtId="2" fontId="2" fillId="3" borderId="0" xfId="1" applyNumberFormat="1" applyFont="1" applyFill="1" applyAlignment="1">
      <alignment horizontal="center"/>
    </xf>
    <xf numFmtId="2" fontId="2" fillId="3" borderId="0" xfId="1" applyNumberFormat="1" applyFont="1" applyFill="1" applyBorder="1" applyAlignment="1">
      <alignment horizontal="center"/>
    </xf>
    <xf numFmtId="0" fontId="0" fillId="0" borderId="0" xfId="0" applyFill="1" applyAlignment="1"/>
    <xf numFmtId="0" fontId="1" fillId="4" borderId="0" xfId="0" applyFont="1" applyFill="1" applyAlignment="1">
      <alignment horizontal="center"/>
    </xf>
    <xf numFmtId="0" fontId="0" fillId="8" borderId="0" xfId="0" applyFill="1" applyAlignment="1">
      <alignment horizontal="center"/>
    </xf>
    <xf numFmtId="0" fontId="0" fillId="8" borderId="0" xfId="0" applyFont="1" applyFill="1" applyAlignment="1">
      <alignment horizontal="center"/>
    </xf>
    <xf numFmtId="0" fontId="3" fillId="0" borderId="0" xfId="1" applyFont="1" applyAlignment="1">
      <alignment horizontal="center"/>
    </xf>
    <xf numFmtId="0" fontId="0" fillId="8" borderId="0" xfId="0" applyFont="1" applyFill="1" applyAlignment="1">
      <alignment horizontal="right"/>
    </xf>
    <xf numFmtId="0" fontId="2" fillId="0" borderId="0" xfId="0" applyFont="1" applyFill="1"/>
    <xf numFmtId="0" fontId="2" fillId="6" borderId="0" xfId="0" applyFont="1" applyFill="1"/>
    <xf numFmtId="37" fontId="3" fillId="0" borderId="0" xfId="0" applyNumberFormat="1" applyFont="1" applyFill="1" applyBorder="1" applyAlignment="1">
      <alignment horizontal="center"/>
    </xf>
    <xf numFmtId="0" fontId="2" fillId="0" borderId="0" xfId="1" applyFont="1" applyFill="1"/>
    <xf numFmtId="0" fontId="0" fillId="8" borderId="0" xfId="0" applyFont="1" applyFill="1"/>
    <xf numFmtId="0" fontId="2" fillId="8" borderId="0" xfId="1" applyFont="1" applyFill="1" applyAlignment="1">
      <alignment horizontal="center"/>
    </xf>
    <xf numFmtId="0" fontId="2" fillId="8" borderId="0" xfId="1" applyFont="1" applyFill="1" applyBorder="1" applyAlignment="1">
      <alignment horizontal="center"/>
    </xf>
    <xf numFmtId="0" fontId="0" fillId="2" borderId="0" xfId="0" applyFont="1" applyFill="1" applyAlignment="1">
      <alignment horizontal="center"/>
    </xf>
    <xf numFmtId="0" fontId="0" fillId="2" borderId="0" xfId="0" applyFont="1" applyFill="1" applyAlignment="1">
      <alignment horizontal="right"/>
    </xf>
    <xf numFmtId="0" fontId="0" fillId="0" borderId="0" xfId="0" applyFont="1" applyAlignment="1">
      <alignment horizontal="right"/>
    </xf>
    <xf numFmtId="0" fontId="0" fillId="6" borderId="0" xfId="0" applyFont="1" applyFill="1"/>
    <xf numFmtId="0" fontId="0" fillId="2" borderId="0" xfId="0" applyFont="1" applyFill="1"/>
    <xf numFmtId="0" fontId="2" fillId="2" borderId="0" xfId="1" applyFont="1" applyFill="1" applyAlignment="1">
      <alignment horizontal="center"/>
    </xf>
    <xf numFmtId="0" fontId="2" fillId="2" borderId="0" xfId="1" applyFont="1" applyFill="1" applyBorder="1" applyAlignment="1">
      <alignment horizontal="center"/>
    </xf>
    <xf numFmtId="0" fontId="1" fillId="0" borderId="0" xfId="0" applyFont="1" applyFill="1" applyAlignment="1">
      <alignment horizontal="center"/>
    </xf>
    <xf numFmtId="176" fontId="1" fillId="10" borderId="0" xfId="0" applyNumberFormat="1" applyFont="1" applyFill="1" applyAlignment="1">
      <alignment horizontal="center"/>
    </xf>
    <xf numFmtId="176" fontId="0" fillId="0" borderId="0" xfId="0" applyNumberFormat="1" applyFont="1"/>
    <xf numFmtId="176" fontId="0" fillId="9" borderId="0" xfId="0" applyNumberFormat="1" applyFill="1" applyAlignment="1">
      <alignment horizontal="center"/>
    </xf>
    <xf numFmtId="176" fontId="0" fillId="9" borderId="0" xfId="0" applyNumberFormat="1" applyFont="1" applyFill="1" applyAlignment="1">
      <alignment horizontal="center"/>
    </xf>
    <xf numFmtId="176" fontId="0" fillId="9" borderId="0" xfId="0" applyNumberFormat="1" applyFont="1" applyFill="1" applyAlignment="1">
      <alignment horizontal="right"/>
    </xf>
    <xf numFmtId="176" fontId="1" fillId="0" borderId="0" xfId="0" applyNumberFormat="1" applyFont="1" applyFill="1" applyAlignment="1">
      <alignment vertical="center"/>
    </xf>
    <xf numFmtId="176" fontId="2" fillId="0" borderId="0" xfId="0" applyNumberFormat="1" applyFont="1"/>
    <xf numFmtId="176" fontId="2" fillId="0" borderId="0" xfId="0" applyNumberFormat="1" applyFont="1" applyBorder="1"/>
    <xf numFmtId="176" fontId="2" fillId="0" borderId="0" xfId="1" applyNumberFormat="1" applyFont="1" applyBorder="1" applyAlignment="1" applyProtection="1"/>
    <xf numFmtId="176" fontId="0" fillId="9" borderId="0" xfId="0" applyNumberFormat="1" applyFont="1" applyFill="1"/>
    <xf numFmtId="176" fontId="2" fillId="0" borderId="0" xfId="1" applyNumberFormat="1" applyFont="1" applyFill="1" applyBorder="1" applyAlignment="1" applyProtection="1"/>
    <xf numFmtId="176" fontId="3" fillId="0" borderId="0" xfId="1" applyNumberFormat="1" applyFont="1" applyFill="1" applyAlignment="1"/>
    <xf numFmtId="176" fontId="2" fillId="0" borderId="0" xfId="1" applyNumberFormat="1" applyFont="1" applyBorder="1" applyProtection="1"/>
    <xf numFmtId="176" fontId="2" fillId="0" borderId="0" xfId="1" applyNumberFormat="1" applyFont="1"/>
    <xf numFmtId="176" fontId="2" fillId="0" borderId="0" xfId="1" applyNumberFormat="1" applyFont="1" applyFill="1" applyBorder="1" applyProtection="1"/>
    <xf numFmtId="176" fontId="3" fillId="0" borderId="0" xfId="0" applyNumberFormat="1" applyFont="1" applyFill="1" applyBorder="1" applyAlignment="1">
      <alignment horizontal="center"/>
    </xf>
    <xf numFmtId="176" fontId="2" fillId="9" borderId="0" xfId="1" applyNumberFormat="1" applyFont="1" applyFill="1" applyAlignment="1">
      <alignment horizontal="center"/>
    </xf>
    <xf numFmtId="176" fontId="2" fillId="9" borderId="0" xfId="1" applyNumberFormat="1" applyFont="1" applyFill="1" applyBorder="1" applyAlignment="1">
      <alignment horizontal="center"/>
    </xf>
    <xf numFmtId="0" fontId="3" fillId="0" borderId="0" xfId="1" applyFont="1" applyFill="1" applyAlignment="1">
      <alignment horizontal="center"/>
    </xf>
    <xf numFmtId="0" fontId="0" fillId="8" borderId="0" xfId="0" applyFill="1" applyAlignment="1">
      <alignment horizontal="left"/>
    </xf>
    <xf numFmtId="0" fontId="0" fillId="8" borderId="0" xfId="0" applyFont="1" applyFill="1" applyAlignment="1">
      <alignment horizontal="left"/>
    </xf>
    <xf numFmtId="0" fontId="2" fillId="8" borderId="0" xfId="0" applyFont="1" applyFill="1" applyAlignment="1">
      <alignment horizontal="left"/>
    </xf>
    <xf numFmtId="0" fontId="0" fillId="11" borderId="0" xfId="0" applyFill="1" applyAlignment="1">
      <alignment horizontal="center"/>
    </xf>
    <xf numFmtId="0" fontId="0" fillId="2" borderId="0" xfId="0" applyFill="1" applyAlignment="1">
      <alignment horizontal="left"/>
    </xf>
    <xf numFmtId="0" fontId="0" fillId="2" borderId="0" xfId="0" applyFont="1" applyFill="1" applyAlignment="1">
      <alignment horizontal="left"/>
    </xf>
    <xf numFmtId="0" fontId="2" fillId="2" borderId="0" xfId="0" applyFont="1" applyFill="1" applyAlignment="1">
      <alignment horizontal="left"/>
    </xf>
    <xf numFmtId="176" fontId="0" fillId="9" borderId="0" xfId="0" applyNumberFormat="1" applyFill="1" applyAlignment="1">
      <alignment horizontal="left"/>
    </xf>
    <xf numFmtId="176" fontId="0" fillId="9" borderId="0" xfId="0" applyNumberFormat="1" applyFont="1" applyFill="1" applyAlignment="1">
      <alignment horizontal="left"/>
    </xf>
    <xf numFmtId="176" fontId="2" fillId="0" borderId="0" xfId="0" applyNumberFormat="1" applyFont="1" applyAlignment="1">
      <alignment horizontal="left"/>
    </xf>
    <xf numFmtId="176" fontId="2" fillId="0" borderId="0" xfId="1" applyNumberFormat="1" applyFont="1" applyAlignment="1"/>
    <xf numFmtId="176" fontId="2" fillId="9" borderId="0" xfId="0" applyNumberFormat="1" applyFont="1" applyFill="1" applyAlignment="1">
      <alignment horizontal="left"/>
    </xf>
    <xf numFmtId="176" fontId="2" fillId="0" borderId="0" xfId="1" applyNumberFormat="1" applyFont="1" applyBorder="1" applyAlignment="1">
      <alignment horizontal="center"/>
    </xf>
    <xf numFmtId="0" fontId="0" fillId="7" borderId="0" xfId="0" applyFill="1"/>
    <xf numFmtId="0" fontId="0" fillId="12" borderId="0" xfId="0" applyFill="1"/>
    <xf numFmtId="0" fontId="0" fillId="13" borderId="0" xfId="0" applyFill="1"/>
    <xf numFmtId="0" fontId="0" fillId="11" borderId="0" xfId="0" applyFont="1" applyFill="1" applyAlignment="1">
      <alignment horizontal="center"/>
    </xf>
    <xf numFmtId="0" fontId="2" fillId="11" borderId="0" xfId="1" applyFont="1" applyFill="1" applyAlignment="1">
      <alignment horizontal="center"/>
    </xf>
    <xf numFmtId="0" fontId="1" fillId="13" borderId="0" xfId="0" applyFont="1" applyFill="1" applyAlignment="1">
      <alignment horizontal="right"/>
    </xf>
    <xf numFmtId="0" fontId="1" fillId="0" borderId="0" xfId="0" applyFont="1" applyFill="1" applyAlignment="1">
      <alignment horizontal="right"/>
    </xf>
    <xf numFmtId="0" fontId="2" fillId="0" borderId="0" xfId="0" applyFont="1" applyFill="1" applyBorder="1"/>
    <xf numFmtId="37" fontId="2" fillId="0" borderId="0" xfId="1" applyNumberFormat="1" applyFont="1" applyFill="1" applyBorder="1" applyAlignment="1" applyProtection="1"/>
    <xf numFmtId="0" fontId="4" fillId="0" borderId="0" xfId="0" applyNumberFormat="1" applyFont="1" applyAlignment="1">
      <alignment horizontal="center"/>
    </xf>
    <xf numFmtId="0" fontId="1" fillId="0" borderId="1" xfId="0" applyNumberFormat="1" applyFont="1" applyBorder="1" applyAlignment="1">
      <alignment horizontal="center"/>
    </xf>
    <xf numFmtId="0" fontId="1" fillId="0" borderId="2" xfId="0" applyNumberFormat="1" applyFont="1" applyBorder="1" applyAlignment="1">
      <alignment horizontal="center"/>
    </xf>
    <xf numFmtId="0" fontId="1" fillId="0" borderId="3" xfId="0" applyNumberFormat="1" applyFont="1" applyBorder="1" applyAlignment="1">
      <alignment horizontal="center"/>
    </xf>
    <xf numFmtId="0" fontId="1" fillId="0" borderId="0" xfId="0" applyNumberFormat="1" applyFont="1" applyBorder="1" applyAlignment="1">
      <alignment horizontal="center"/>
    </xf>
    <xf numFmtId="0" fontId="5" fillId="0" borderId="3" xfId="0" applyNumberFormat="1" applyFont="1" applyBorder="1" applyAlignment="1">
      <alignment horizontal="center"/>
    </xf>
    <xf numFmtId="0" fontId="5" fillId="0" borderId="0" xfId="0" applyNumberFormat="1" applyFont="1" applyBorder="1" applyAlignment="1">
      <alignment horizontal="center"/>
    </xf>
    <xf numFmtId="0" fontId="1" fillId="0" borderId="4" xfId="0" applyNumberFormat="1" applyFont="1" applyBorder="1" applyAlignment="1">
      <alignment horizontal="center"/>
    </xf>
    <xf numFmtId="0" fontId="1" fillId="0" borderId="5" xfId="0" applyNumberFormat="1" applyFont="1" applyBorder="1" applyAlignment="1">
      <alignment horizontal="center"/>
    </xf>
    <xf numFmtId="0" fontId="6" fillId="0" borderId="0" xfId="0" applyFont="1" applyFill="1" applyAlignment="1">
      <alignment vertical="center"/>
    </xf>
    <xf numFmtId="0" fontId="1" fillId="0" borderId="0" xfId="0" applyFont="1" applyFill="1" applyAlignment="1">
      <alignment horizontal="left"/>
    </xf>
    <xf numFmtId="0" fontId="3" fillId="0" borderId="0" xfId="0" applyFont="1" applyFill="1" applyAlignment="1">
      <alignment horizontal="left"/>
    </xf>
    <xf numFmtId="0" fontId="2" fillId="0" borderId="0" xfId="1" applyFont="1" applyFill="1" applyAlignment="1"/>
    <xf numFmtId="37" fontId="2" fillId="0" borderId="0" xfId="1" applyNumberFormat="1" applyFont="1" applyFill="1" applyBorder="1" applyAlignment="1">
      <alignment horizontal="center"/>
    </xf>
    <xf numFmtId="0" fontId="3" fillId="0" borderId="0" xfId="1" applyFont="1" applyFill="1" applyBorder="1" applyAlignment="1">
      <alignment horizontal="center"/>
    </xf>
    <xf numFmtId="0" fontId="1" fillId="0" borderId="6" xfId="0" applyNumberFormat="1" applyFont="1" applyBorder="1" applyAlignment="1">
      <alignment horizontal="center"/>
    </xf>
    <xf numFmtId="0" fontId="1" fillId="0" borderId="7" xfId="0" applyNumberFormat="1" applyFont="1" applyBorder="1" applyAlignment="1">
      <alignment horizontal="center"/>
    </xf>
    <xf numFmtId="0" fontId="5" fillId="0" borderId="7" xfId="0" applyNumberFormat="1" applyFont="1" applyBorder="1" applyAlignment="1">
      <alignment horizontal="center"/>
    </xf>
    <xf numFmtId="0" fontId="1" fillId="0" borderId="8" xfId="0" applyNumberFormat="1" applyFont="1" applyBorder="1" applyAlignment="1">
      <alignment horizontal="center"/>
    </xf>
    <xf numFmtId="0" fontId="0" fillId="3" borderId="0" xfId="0" applyFill="1"/>
    <xf numFmtId="0" fontId="0" fillId="4" borderId="0" xfId="0" applyFill="1"/>
    <xf numFmtId="0" fontId="7" fillId="2" borderId="0" xfId="0" applyFont="1" applyFill="1" applyAlignment="1">
      <alignment horizontal="center"/>
    </xf>
    <xf numFmtId="0" fontId="0" fillId="14" borderId="0" xfId="0" applyFill="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15" borderId="0" xfId="0" applyFill="1" applyAlignment="1">
      <alignment horizontal="center"/>
    </xf>
    <xf numFmtId="0" fontId="0" fillId="7"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16" fontId="0" fillId="0" borderId="0" xfId="0" applyNumberFormat="1" applyAlignment="1">
      <alignment horizontal="center"/>
    </xf>
    <xf numFmtId="1" fontId="0" fillId="0" borderId="0" xfId="0" applyNumberFormat="1" applyAlignment="1">
      <alignment horizontal="center"/>
    </xf>
    <xf numFmtId="0" fontId="0" fillId="16" borderId="0" xfId="0" applyFill="1" applyAlignment="1">
      <alignment horizontal="center"/>
    </xf>
    <xf numFmtId="0" fontId="0" fillId="7" borderId="0" xfId="0" applyFill="1" applyBorder="1" applyAlignment="1">
      <alignment horizontal="center"/>
    </xf>
    <xf numFmtId="0" fontId="0" fillId="2" borderId="0" xfId="0" applyFill="1" applyBorder="1" applyAlignment="1">
      <alignment horizontal="center"/>
    </xf>
    <xf numFmtId="0" fontId="0" fillId="4" borderId="0" xfId="0" applyFill="1" applyBorder="1" applyAlignment="1">
      <alignment horizontal="center"/>
    </xf>
    <xf numFmtId="176" fontId="0" fillId="0" borderId="0" xfId="0" applyNumberFormat="1" applyAlignment="1">
      <alignment horizontal="center"/>
    </xf>
    <xf numFmtId="0" fontId="0" fillId="0" borderId="11" xfId="0" applyBorder="1" applyAlignment="1">
      <alignment horizontal="center"/>
    </xf>
    <xf numFmtId="0" fontId="0" fillId="0" borderId="0" xfId="0" applyBorder="1" applyAlignment="1">
      <alignment horizontal="center"/>
    </xf>
    <xf numFmtId="0" fontId="8" fillId="0" borderId="0" xfId="0" applyFont="1" applyAlignment="1">
      <alignment horizontal="center"/>
    </xf>
    <xf numFmtId="0" fontId="0" fillId="0" borderId="0" xfId="0" applyAlignment="1">
      <alignment horizontal="center" wrapText="1"/>
    </xf>
    <xf numFmtId="0" fontId="0" fillId="0" borderId="0" xfId="0" applyAlignment="1">
      <alignment horizontal="center" vertical="center" wrapText="1"/>
    </xf>
    <xf numFmtId="0" fontId="0" fillId="0" borderId="0" xfId="0" applyAlignment="1">
      <alignment horizontal="center" vertical="center"/>
    </xf>
    <xf numFmtId="0" fontId="0" fillId="0" borderId="0" xfId="0" applyNumberFormat="1" applyFont="1" applyAlignment="1">
      <alignment horizontal="center"/>
    </xf>
    <xf numFmtId="0" fontId="0" fillId="0" borderId="0" xfId="0" applyFill="1" applyBorder="1" applyAlignment="1">
      <alignment horizontal="center"/>
    </xf>
    <xf numFmtId="0" fontId="0" fillId="14" borderId="0" xfId="0" applyFont="1" applyFill="1" applyAlignment="1">
      <alignment horizontal="center"/>
    </xf>
    <xf numFmtId="0" fontId="0" fillId="14" borderId="11" xfId="0" applyFont="1" applyFill="1" applyBorder="1" applyAlignment="1">
      <alignment horizontal="center"/>
    </xf>
    <xf numFmtId="0" fontId="0" fillId="14" borderId="0" xfId="0" applyFont="1" applyFill="1" applyBorder="1" applyAlignment="1">
      <alignment horizontal="center"/>
    </xf>
    <xf numFmtId="0" fontId="0" fillId="14" borderId="0" xfId="0" applyFill="1" applyBorder="1" applyAlignment="1">
      <alignment horizontal="center"/>
    </xf>
    <xf numFmtId="0" fontId="0" fillId="0" borderId="0" xfId="0" applyFont="1" applyFill="1" applyAlignment="1">
      <alignment horizontal="center"/>
    </xf>
    <xf numFmtId="0" fontId="0" fillId="0" borderId="11" xfId="0" applyFont="1" applyFill="1" applyBorder="1" applyAlignment="1">
      <alignment horizontal="center"/>
    </xf>
    <xf numFmtId="0" fontId="0" fillId="0" borderId="0" xfId="0" applyFont="1" applyFill="1" applyBorder="1" applyAlignment="1">
      <alignment horizontal="center"/>
    </xf>
    <xf numFmtId="0" fontId="0" fillId="14" borderId="11" xfId="0" applyFill="1" applyBorder="1" applyAlignment="1">
      <alignment horizontal="center"/>
    </xf>
    <xf numFmtId="0" fontId="0" fillId="0" borderId="11" xfId="0" applyFill="1" applyBorder="1" applyAlignment="1">
      <alignment horizontal="center"/>
    </xf>
    <xf numFmtId="0" fontId="0" fillId="14" borderId="12" xfId="0" applyFill="1" applyBorder="1" applyAlignment="1">
      <alignment horizontal="center"/>
    </xf>
    <xf numFmtId="0" fontId="0" fillId="0" borderId="12" xfId="0" applyFill="1" applyBorder="1" applyAlignment="1">
      <alignment horizontal="center"/>
    </xf>
    <xf numFmtId="0" fontId="0" fillId="14" borderId="0" xfId="0" applyNumberFormat="1" applyFont="1" applyFill="1" applyAlignment="1">
      <alignment horizontal="center"/>
    </xf>
    <xf numFmtId="0" fontId="0" fillId="14" borderId="11"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0" borderId="0" xfId="0" applyFill="1" applyBorder="1" applyAlignment="1">
      <alignment horizontal="center" vertical="center"/>
    </xf>
    <xf numFmtId="0" fontId="0" fillId="0" borderId="12" xfId="0" applyFill="1" applyBorder="1" applyAlignment="1">
      <alignment vertical="center"/>
    </xf>
    <xf numFmtId="0" fontId="2" fillId="0" borderId="0" xfId="0" applyFont="1" applyFill="1" applyAlignment="1">
      <alignment horizontal="center"/>
    </xf>
    <xf numFmtId="176" fontId="1" fillId="7" borderId="0" xfId="0" applyNumberFormat="1" applyFont="1" applyFill="1" applyAlignment="1">
      <alignment horizontal="center"/>
    </xf>
    <xf numFmtId="0" fontId="1" fillId="15" borderId="0" xfId="0" applyFont="1" applyFill="1" applyAlignment="1">
      <alignment horizontal="center"/>
    </xf>
    <xf numFmtId="1" fontId="0" fillId="0" borderId="0" xfId="0" applyNumberFormat="1" applyFill="1" applyAlignment="1">
      <alignment horizontal="center"/>
    </xf>
    <xf numFmtId="16" fontId="0" fillId="14" borderId="11" xfId="0" applyNumberFormat="1" applyFill="1" applyBorder="1" applyAlignment="1">
      <alignment horizontal="center"/>
    </xf>
    <xf numFmtId="16" fontId="0" fillId="14" borderId="0" xfId="0" applyNumberFormat="1" applyFill="1" applyBorder="1" applyAlignment="1">
      <alignment horizontal="center"/>
    </xf>
    <xf numFmtId="2" fontId="0" fillId="0" borderId="11" xfId="0" applyNumberFormat="1" applyFill="1" applyBorder="1" applyAlignment="1">
      <alignment horizontal="center"/>
    </xf>
    <xf numFmtId="2" fontId="0" fillId="0" borderId="0" xfId="0" applyNumberFormat="1" applyFill="1" applyBorder="1" applyAlignment="1">
      <alignment horizontal="center"/>
    </xf>
    <xf numFmtId="2" fontId="0" fillId="14" borderId="0" xfId="0" applyNumberFormat="1" applyFill="1" applyBorder="1" applyAlignment="1">
      <alignment horizontal="center"/>
    </xf>
    <xf numFmtId="176" fontId="0" fillId="14" borderId="11" xfId="0" applyNumberFormat="1" applyFill="1" applyBorder="1" applyAlignment="1">
      <alignment horizontal="center"/>
    </xf>
    <xf numFmtId="176" fontId="0" fillId="14" borderId="0" xfId="0" applyNumberFormat="1" applyFill="1" applyBorder="1" applyAlignment="1">
      <alignment horizontal="center"/>
    </xf>
    <xf numFmtId="176" fontId="0" fillId="14" borderId="11" xfId="0" applyNumberFormat="1" applyFont="1" applyFill="1" applyBorder="1" applyAlignment="1">
      <alignment horizontal="center"/>
    </xf>
    <xf numFmtId="176" fontId="0" fillId="14" borderId="0" xfId="0" applyNumberFormat="1" applyFont="1" applyFill="1" applyBorder="1" applyAlignment="1">
      <alignment horizontal="center"/>
    </xf>
    <xf numFmtId="176" fontId="0" fillId="14" borderId="12" xfId="0" applyNumberFormat="1" applyFont="1" applyFill="1" applyBorder="1" applyAlignment="1">
      <alignment horizontal="center"/>
    </xf>
    <xf numFmtId="0" fontId="0" fillId="0" borderId="12" xfId="0" applyFont="1" applyFill="1" applyBorder="1" applyAlignment="1">
      <alignment horizontal="center"/>
    </xf>
    <xf numFmtId="0" fontId="1" fillId="14" borderId="0" xfId="0" applyFont="1" applyFill="1" applyAlignment="1">
      <alignment horizontal="left"/>
    </xf>
    <xf numFmtId="176" fontId="1" fillId="14" borderId="0" xfId="0" applyNumberFormat="1" applyFont="1" applyFill="1" applyAlignment="1">
      <alignment horizontal="center"/>
    </xf>
    <xf numFmtId="0" fontId="0" fillId="0" borderId="0" xfId="0" applyFont="1" applyFill="1" applyAlignment="1"/>
    <xf numFmtId="0" fontId="1" fillId="14" borderId="0" xfId="0" applyFont="1" applyFill="1" applyAlignment="1">
      <alignment horizontal="center"/>
    </xf>
    <xf numFmtId="0" fontId="0" fillId="0" borderId="11" xfId="0" applyNumberFormat="1" applyFont="1" applyFill="1" applyBorder="1" applyAlignment="1">
      <alignment horizontal="center"/>
    </xf>
    <xf numFmtId="176" fontId="1" fillId="0" borderId="0" xfId="0" applyNumberFormat="1" applyFont="1" applyFill="1" applyAlignment="1">
      <alignment horizontal="center"/>
    </xf>
    <xf numFmtId="0" fontId="2" fillId="2" borderId="0" xfId="0" applyFont="1" applyFill="1"/>
    <xf numFmtId="0" fontId="2" fillId="2" borderId="0" xfId="0" applyFont="1" applyFill="1" applyAlignment="1">
      <alignment horizontal="center"/>
    </xf>
    <xf numFmtId="0" fontId="2" fillId="3" borderId="0" xfId="0" applyFont="1" applyFill="1"/>
    <xf numFmtId="0" fontId="2" fillId="3" borderId="0" xfId="0" applyFont="1" applyFill="1" applyAlignment="1">
      <alignment horizontal="center"/>
    </xf>
    <xf numFmtId="0" fontId="2" fillId="0" borderId="0" xfId="0" applyFont="1" applyFill="1" applyAlignment="1">
      <alignment horizontal="right"/>
    </xf>
    <xf numFmtId="0" fontId="2" fillId="0" borderId="0" xfId="0" applyFont="1" applyFill="1" applyAlignment="1">
      <alignment wrapText="1"/>
    </xf>
    <xf numFmtId="0" fontId="0" fillId="0" borderId="0" xfId="0" applyNumberFormat="1" applyFont="1" applyFill="1" applyAlignment="1">
      <alignment horizontal="center"/>
    </xf>
    <xf numFmtId="0" fontId="2" fillId="0" borderId="0" xfId="0" applyNumberFormat="1" applyFont="1" applyFill="1"/>
    <xf numFmtId="0" fontId="2" fillId="0" borderId="0" xfId="1" applyNumberFormat="1" applyFont="1" applyFill="1" applyAlignment="1">
      <alignment horizontal="center"/>
    </xf>
    <xf numFmtId="0" fontId="2" fillId="0" borderId="0" xfId="1" applyNumberFormat="1" applyFont="1" applyFill="1" applyAlignment="1"/>
    <xf numFmtId="0" fontId="2" fillId="0" borderId="0" xfId="1" applyNumberFormat="1" applyFont="1" applyFill="1"/>
    <xf numFmtId="0" fontId="10" fillId="0" borderId="0" xfId="0" applyFont="1" applyAlignment="1">
      <alignment horizontal="center"/>
    </xf>
    <xf numFmtId="0" fontId="2" fillId="4" borderId="0" xfId="1" applyFont="1" applyFill="1"/>
    <xf numFmtId="0" fontId="0" fillId="4" borderId="0" xfId="0" applyFont="1" applyFill="1"/>
    <xf numFmtId="0" fontId="1" fillId="4" borderId="0" xfId="0" applyFont="1" applyFill="1" applyAlignment="1">
      <alignment horizontal="right"/>
    </xf>
    <xf numFmtId="0" fontId="0" fillId="4" borderId="0" xfId="0" applyFill="1" applyBorder="1"/>
    <xf numFmtId="0" fontId="0" fillId="0" borderId="0" xfId="0" applyFill="1" applyBorder="1"/>
    <xf numFmtId="0" fontId="0" fillId="0" borderId="0" xfId="0" applyFont="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2" borderId="2" xfId="0" applyFill="1" applyBorder="1" applyAlignment="1">
      <alignment horizontal="center"/>
    </xf>
    <xf numFmtId="0" fontId="0" fillId="3" borderId="2" xfId="0" applyFill="1" applyBorder="1" applyAlignment="1">
      <alignment horizontal="center"/>
    </xf>
    <xf numFmtId="0" fontId="0" fillId="7" borderId="3" xfId="0" applyFill="1" applyBorder="1"/>
    <xf numFmtId="0" fontId="0" fillId="7" borderId="0" xfId="0" applyFont="1" applyFill="1" applyBorder="1" applyAlignment="1">
      <alignment horizontal="center"/>
    </xf>
    <xf numFmtId="0" fontId="0" fillId="3" borderId="0" xfId="0" applyFill="1" applyBorder="1" applyAlignment="1">
      <alignment horizontal="center"/>
    </xf>
    <xf numFmtId="0" fontId="0" fillId="7" borderId="4" xfId="0" applyFill="1" applyBorder="1"/>
    <xf numFmtId="0" fontId="0" fillId="7" borderId="5" xfId="0" applyFont="1" applyFill="1" applyBorder="1" applyAlignment="1">
      <alignment horizontal="center"/>
    </xf>
    <xf numFmtId="0" fontId="0" fillId="2" borderId="5" xfId="0" applyFill="1" applyBorder="1" applyAlignment="1">
      <alignment horizontal="center"/>
    </xf>
    <xf numFmtId="0" fontId="0" fillId="3" borderId="5" xfId="0" applyFill="1"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4" xfId="0" applyFill="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9" xfId="0" applyFill="1" applyBorder="1" applyAlignment="1">
      <alignment horizontal="center"/>
    </xf>
    <xf numFmtId="0" fontId="0" fillId="0" borderId="0" xfId="0" applyNumberFormat="1" applyFont="1" applyFill="1" applyBorder="1" applyAlignment="1">
      <alignment horizontal="center"/>
    </xf>
    <xf numFmtId="0" fontId="1" fillId="0" borderId="0" xfId="0" applyFont="1" applyFill="1" applyBorder="1" applyAlignment="1">
      <alignment horizontal="center"/>
    </xf>
    <xf numFmtId="0" fontId="7" fillId="0" borderId="0" xfId="0" applyFont="1" applyFill="1" applyAlignment="1"/>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3" fillId="4" borderId="0" xfId="0" applyFont="1" applyFill="1" applyBorder="1" applyAlignment="1">
      <alignment horizontal="center"/>
    </xf>
    <xf numFmtId="0" fontId="7" fillId="0" borderId="0" xfId="0" applyFont="1" applyFill="1" applyBorder="1" applyAlignment="1"/>
    <xf numFmtId="0" fontId="0" fillId="0" borderId="17" xfId="0" applyFill="1" applyBorder="1" applyAlignment="1">
      <alignment horizontal="center"/>
    </xf>
    <xf numFmtId="0" fontId="0" fillId="0" borderId="18" xfId="0" applyFill="1" applyBorder="1" applyAlignment="1">
      <alignment horizontal="center"/>
    </xf>
    <xf numFmtId="0" fontId="10" fillId="2" borderId="0" xfId="0" applyFont="1" applyFill="1" applyBorder="1" applyAlignment="1">
      <alignment horizontal="center"/>
    </xf>
    <xf numFmtId="0" fontId="0" fillId="0" borderId="0" xfId="0" applyNumberFormat="1" applyFill="1" applyBorder="1" applyAlignment="1">
      <alignment horizontal="center"/>
    </xf>
    <xf numFmtId="0" fontId="0" fillId="2" borderId="0" xfId="0" applyNumberFormat="1" applyFill="1" applyBorder="1" applyAlignment="1">
      <alignment horizontal="center"/>
    </xf>
    <xf numFmtId="0" fontId="0" fillId="0" borderId="0" xfId="0" applyFill="1" applyAlignment="1">
      <alignment vertical="center"/>
    </xf>
    <xf numFmtId="0" fontId="0" fillId="0" borderId="0" xfId="0" applyFill="1" applyAlignment="1">
      <alignment horizontal="left"/>
    </xf>
    <xf numFmtId="0" fontId="0" fillId="0" borderId="0" xfId="0" applyFill="1" applyAlignment="1">
      <alignment horizontal="center" vertical="center"/>
    </xf>
    <xf numFmtId="0" fontId="0" fillId="0" borderId="0" xfId="0" applyBorder="1" applyAlignment="1">
      <alignment vertical="center"/>
    </xf>
    <xf numFmtId="0" fontId="0" fillId="0" borderId="11" xfId="0" applyFont="1" applyBorder="1" applyAlignment="1">
      <alignment horizontal="center" vertical="center"/>
    </xf>
    <xf numFmtId="0" fontId="0" fillId="0" borderId="0" xfId="0" applyFont="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3" borderId="0" xfId="0" applyFill="1" applyBorder="1" applyAlignment="1">
      <alignment horizontal="center" vertical="center"/>
    </xf>
    <xf numFmtId="0" fontId="0" fillId="3" borderId="11" xfId="0" applyFill="1" applyBorder="1" applyAlignment="1">
      <alignment horizontal="center" vertical="center"/>
    </xf>
    <xf numFmtId="0" fontId="0" fillId="4" borderId="0" xfId="0" applyFill="1" applyBorder="1" applyAlignment="1">
      <alignment vertical="center"/>
    </xf>
    <xf numFmtId="0" fontId="0" fillId="4" borderId="11" xfId="0" applyFill="1" applyBorder="1" applyAlignment="1">
      <alignment horizontal="center" vertical="center"/>
    </xf>
    <xf numFmtId="0" fontId="0" fillId="4" borderId="0" xfId="0" applyFill="1" applyBorder="1" applyAlignment="1">
      <alignment horizontal="center" vertical="center"/>
    </xf>
    <xf numFmtId="0" fontId="1" fillId="0" borderId="0" xfId="0" applyFont="1" applyBorder="1" applyAlignment="1">
      <alignment horizontal="right"/>
    </xf>
    <xf numFmtId="0" fontId="1" fillId="7" borderId="0" xfId="0" applyFont="1" applyFill="1" applyBorder="1" applyAlignment="1">
      <alignment horizontal="center"/>
    </xf>
    <xf numFmtId="0" fontId="1" fillId="2" borderId="0" xfId="0" applyFont="1" applyFill="1" applyBorder="1" applyAlignment="1">
      <alignment horizontal="center"/>
    </xf>
    <xf numFmtId="16" fontId="0" fillId="14" borderId="0" xfId="0" applyNumberFormat="1" applyFill="1" applyAlignment="1">
      <alignment horizontal="center"/>
    </xf>
    <xf numFmtId="0" fontId="0" fillId="14" borderId="0" xfId="0" applyNumberFormat="1" applyFill="1" applyAlignment="1">
      <alignment horizontal="center"/>
    </xf>
    <xf numFmtId="0" fontId="0" fillId="0" borderId="14" xfId="0" applyBorder="1" applyAlignment="1">
      <alignment horizontal="center" vertical="center"/>
    </xf>
    <xf numFmtId="0" fontId="0" fillId="0" borderId="0" xfId="0" applyBorder="1" applyAlignment="1">
      <alignment horizontal="center" vertical="center"/>
    </xf>
    <xf numFmtId="176" fontId="0" fillId="0" borderId="0" xfId="0" applyNumberFormat="1" applyBorder="1" applyAlignment="1">
      <alignment horizontal="center"/>
    </xf>
    <xf numFmtId="2" fontId="0" fillId="0" borderId="0" xfId="0" applyNumberFormat="1" applyBorder="1" applyAlignment="1">
      <alignment horizontal="center"/>
    </xf>
    <xf numFmtId="1" fontId="0" fillId="0" borderId="0" xfId="0" applyNumberFormat="1" applyBorder="1" applyAlignment="1">
      <alignment horizontal="center"/>
    </xf>
    <xf numFmtId="0" fontId="0" fillId="0" borderId="9" xfId="0" applyBorder="1" applyAlignment="1">
      <alignment horizontal="center" vertical="center"/>
    </xf>
    <xf numFmtId="1" fontId="0" fillId="0" borderId="9" xfId="0" applyNumberFormat="1" applyBorder="1" applyAlignment="1">
      <alignment horizontal="center"/>
    </xf>
    <xf numFmtId="2" fontId="0" fillId="0" borderId="9" xfId="0" applyNumberFormat="1" applyBorder="1" applyAlignment="1">
      <alignment horizontal="center"/>
    </xf>
    <xf numFmtId="0" fontId="0" fillId="0" borderId="14" xfId="0" applyFont="1" applyFill="1" applyBorder="1" applyAlignment="1">
      <alignment horizontal="center"/>
    </xf>
    <xf numFmtId="0" fontId="1" fillId="0" borderId="9" xfId="0" applyFont="1" applyBorder="1" applyAlignment="1">
      <alignment horizontal="center"/>
    </xf>
    <xf numFmtId="2" fontId="1" fillId="0" borderId="9" xfId="0" applyNumberFormat="1" applyFont="1" applyBorder="1" applyAlignment="1">
      <alignment horizontal="center"/>
    </xf>
    <xf numFmtId="0" fontId="1" fillId="3" borderId="0" xfId="0" applyFont="1" applyFill="1" applyBorder="1" applyAlignment="1">
      <alignment horizontal="center"/>
    </xf>
    <xf numFmtId="0" fontId="0" fillId="0" borderId="17" xfId="0" applyBorder="1" applyAlignment="1">
      <alignment horizontal="center"/>
    </xf>
    <xf numFmtId="0" fontId="0" fillId="0" borderId="12" xfId="0" applyBorder="1" applyAlignment="1">
      <alignment horizontal="center"/>
    </xf>
    <xf numFmtId="176" fontId="0" fillId="0" borderId="12" xfId="0" applyNumberFormat="1" applyBorder="1" applyAlignment="1">
      <alignment horizontal="center"/>
    </xf>
    <xf numFmtId="2" fontId="0" fillId="0" borderId="12" xfId="0" applyNumberFormat="1" applyBorder="1" applyAlignment="1">
      <alignment horizontal="center"/>
    </xf>
    <xf numFmtId="1" fontId="0" fillId="0" borderId="12" xfId="0" applyNumberFormat="1" applyBorder="1" applyAlignment="1">
      <alignment horizontal="center"/>
    </xf>
    <xf numFmtId="1" fontId="0" fillId="0" borderId="18" xfId="0" applyNumberFormat="1" applyBorder="1" applyAlignment="1">
      <alignment horizontal="center"/>
    </xf>
    <xf numFmtId="0" fontId="0" fillId="0" borderId="18" xfId="0" applyBorder="1" applyAlignment="1">
      <alignment horizontal="center"/>
    </xf>
    <xf numFmtId="0" fontId="0" fillId="0" borderId="0" xfId="0" applyNumberFormat="1" applyFill="1" applyAlignment="1">
      <alignment horizontal="center"/>
    </xf>
    <xf numFmtId="0" fontId="0" fillId="0" borderId="19" xfId="0" applyBorder="1" applyAlignment="1">
      <alignment horizontal="center"/>
    </xf>
    <xf numFmtId="0" fontId="1" fillId="0" borderId="12" xfId="0" applyFont="1" applyBorder="1" applyAlignment="1">
      <alignment horizontal="center"/>
    </xf>
    <xf numFmtId="176" fontId="1" fillId="0" borderId="12" xfId="0" applyNumberFormat="1" applyFont="1" applyBorder="1" applyAlignment="1">
      <alignment horizontal="center"/>
    </xf>
    <xf numFmtId="176" fontId="0" fillId="0" borderId="9" xfId="0" applyNumberFormat="1" applyBorder="1" applyAlignment="1">
      <alignment horizontal="center"/>
    </xf>
    <xf numFmtId="176" fontId="1" fillId="0" borderId="18" xfId="0" applyNumberFormat="1" applyFont="1" applyBorder="1" applyAlignment="1">
      <alignment horizontal="center"/>
    </xf>
    <xf numFmtId="0" fontId="0" fillId="0" borderId="14" xfId="0" applyBorder="1" applyAlignment="1">
      <alignment horizontal="center" vertical="center" textRotation="90"/>
    </xf>
    <xf numFmtId="0" fontId="0" fillId="0" borderId="0" xfId="0" applyBorder="1" applyAlignment="1">
      <alignment horizontal="center" vertical="center" textRotation="90"/>
    </xf>
    <xf numFmtId="0" fontId="0" fillId="0" borderId="9" xfId="0" applyBorder="1" applyAlignment="1">
      <alignment horizontal="center" vertical="center" textRotation="90"/>
    </xf>
    <xf numFmtId="0" fontId="0" fillId="14" borderId="0" xfId="0" applyFill="1"/>
    <xf numFmtId="0" fontId="7" fillId="2" borderId="0" xfId="0" applyFont="1" applyFill="1"/>
    <xf numFmtId="0" fontId="1" fillId="14" borderId="0" xfId="0" applyFont="1" applyFill="1"/>
    <xf numFmtId="0" fontId="10" fillId="14" borderId="0" xfId="0" applyFont="1" applyFill="1" applyAlignment="1">
      <alignment horizontal="center"/>
    </xf>
    <xf numFmtId="0" fontId="0" fillId="14" borderId="0" xfId="0" applyFill="1" applyAlignment="1">
      <alignment horizontal="center" vertical="center"/>
    </xf>
    <xf numFmtId="0" fontId="10" fillId="0" borderId="0" xfId="0" applyFont="1" applyFill="1" applyAlignment="1">
      <alignment horizontal="center"/>
    </xf>
    <xf numFmtId="0" fontId="1" fillId="14" borderId="0" xfId="0" applyFont="1" applyFill="1" applyAlignment="1">
      <alignment wrapText="1"/>
    </xf>
    <xf numFmtId="0" fontId="0" fillId="14" borderId="0" xfId="0" applyFill="1" applyAlignment="1">
      <alignment wrapText="1"/>
    </xf>
    <xf numFmtId="0" fontId="0" fillId="0" borderId="0" xfId="0" applyFill="1" applyAlignment="1">
      <alignment wrapText="1"/>
    </xf>
    <xf numFmtId="0" fontId="0" fillId="0" borderId="0" xfId="0" applyFill="1" applyAlignment="1">
      <alignment horizontal="right"/>
    </xf>
    <xf numFmtId="0" fontId="10" fillId="0" borderId="0" xfId="0" applyFont="1"/>
    <xf numFmtId="0" fontId="0" fillId="0" borderId="0" xfId="0" applyFont="1" applyFill="1" applyBorder="1"/>
    <xf numFmtId="0" fontId="0" fillId="0" borderId="0" xfId="0" applyFont="1" applyBorder="1"/>
    <xf numFmtId="0" fontId="0" fillId="14" borderId="0" xfId="0" applyFont="1" applyFill="1"/>
    <xf numFmtId="0" fontId="0" fillId="0" borderId="14" xfId="0" applyFont="1" applyBorder="1"/>
    <xf numFmtId="0" fontId="0" fillId="0" borderId="20" xfId="0" applyFont="1" applyFill="1" applyBorder="1" applyAlignment="1">
      <alignment horizontal="center"/>
    </xf>
    <xf numFmtId="0" fontId="0" fillId="14" borderId="14" xfId="0" applyFont="1" applyFill="1" applyBorder="1"/>
    <xf numFmtId="0" fontId="0" fillId="14" borderId="14" xfId="0" applyFont="1" applyFill="1" applyBorder="1" applyAlignment="1">
      <alignment horizontal="center"/>
    </xf>
    <xf numFmtId="0" fontId="0" fillId="0" borderId="14" xfId="0" applyFill="1" applyBorder="1"/>
    <xf numFmtId="0" fontId="0" fillId="14" borderId="0" xfId="0" applyFill="1" applyBorder="1"/>
    <xf numFmtId="0" fontId="0" fillId="14" borderId="0" xfId="0" applyFont="1" applyFill="1" applyBorder="1"/>
    <xf numFmtId="0" fontId="2" fillId="0" borderId="0" xfId="1" applyFont="1" applyFill="1" applyBorder="1"/>
    <xf numFmtId="0" fontId="1" fillId="4" borderId="0" xfId="0" applyFont="1" applyFill="1"/>
    <xf numFmtId="0" fontId="1" fillId="4" borderId="0" xfId="0" applyFont="1" applyFill="1" applyBorder="1"/>
    <xf numFmtId="0" fontId="0" fillId="0" borderId="0" xfId="0" applyFill="1" applyBorder="1" applyAlignment="1">
      <alignment horizontal="center" vertical="center" wrapText="1"/>
    </xf>
    <xf numFmtId="0" fontId="3" fillId="0" borderId="0" xfId="0" applyFont="1" applyFill="1" applyAlignment="1">
      <alignment wrapText="1"/>
    </xf>
    <xf numFmtId="0" fontId="2" fillId="4" borderId="0" xfId="0" applyFont="1" applyFill="1"/>
    <xf numFmtId="0" fontId="2" fillId="0" borderId="20" xfId="1" applyFont="1" applyFill="1" applyBorder="1"/>
    <xf numFmtId="0" fontId="2" fillId="0" borderId="14" xfId="0" applyFont="1" applyFill="1" applyBorder="1"/>
    <xf numFmtId="0" fontId="2" fillId="0" borderId="0" xfId="1" applyFont="1" applyAlignment="1">
      <alignment horizontal="center"/>
    </xf>
    <xf numFmtId="0" fontId="2" fillId="0" borderId="0" xfId="1" applyFont="1" applyBorder="1"/>
    <xf numFmtId="0" fontId="2" fillId="0" borderId="0" xfId="1" applyFont="1" applyBorder="1" applyAlignment="1">
      <alignment horizontal="center"/>
    </xf>
    <xf numFmtId="37" fontId="3" fillId="0" borderId="0" xfId="1" applyNumberFormat="1" applyFont="1" applyFill="1" applyBorder="1" applyAlignment="1">
      <alignment horizontal="center"/>
    </xf>
    <xf numFmtId="37" fontId="2" fillId="0" borderId="0" xfId="1" applyNumberFormat="1" applyFont="1" applyFill="1" applyBorder="1" applyAlignment="1"/>
    <xf numFmtId="0" fontId="0" fillId="4" borderId="0" xfId="0" applyFont="1" applyFill="1" applyAlignment="1">
      <alignment horizontal="right"/>
    </xf>
    <xf numFmtId="0" fontId="0" fillId="4" borderId="0" xfId="0" applyFont="1" applyFill="1" applyBorder="1" applyAlignment="1">
      <alignment horizontal="center"/>
    </xf>
    <xf numFmtId="0" fontId="0" fillId="0" borderId="0" xfId="0" applyFont="1" applyBorder="1" applyAlignment="1">
      <alignment horizontal="center"/>
    </xf>
    <xf numFmtId="0" fontId="0" fillId="0" borderId="12" xfId="0" applyFont="1" applyBorder="1" applyAlignment="1">
      <alignment horizontal="center"/>
    </xf>
    <xf numFmtId="0" fontId="0" fillId="0" borderId="0" xfId="0" applyFont="1" applyAlignment="1"/>
    <xf numFmtId="0" fontId="0" fillId="0" borderId="15" xfId="0" applyFont="1" applyBorder="1" applyAlignment="1">
      <alignment horizontal="center"/>
    </xf>
    <xf numFmtId="0" fontId="2" fillId="0" borderId="12" xfId="1" applyFont="1" applyFill="1" applyBorder="1" applyAlignment="1">
      <alignment horizontal="center"/>
    </xf>
    <xf numFmtId="0" fontId="0" fillId="0" borderId="15" xfId="0" applyFont="1" applyFill="1" applyBorder="1" applyAlignment="1">
      <alignment horizontal="center"/>
    </xf>
    <xf numFmtId="0" fontId="11" fillId="0" borderId="0" xfId="0" applyFont="1" applyAlignment="1">
      <alignment horizontal="center"/>
    </xf>
    <xf numFmtId="0" fontId="12" fillId="0" borderId="0" xfId="0" applyFont="1" applyAlignment="1">
      <alignment horizontal="center"/>
    </xf>
    <xf numFmtId="0" fontId="11" fillId="0" borderId="19" xfId="0" applyFont="1" applyBorder="1" applyAlignment="1">
      <alignment vertical="center"/>
    </xf>
    <xf numFmtId="0" fontId="11" fillId="0" borderId="17" xfId="0" applyFont="1" applyBorder="1" applyAlignment="1">
      <alignment vertical="center"/>
    </xf>
    <xf numFmtId="0" fontId="11" fillId="0" borderId="0" xfId="0" applyFont="1" applyBorder="1" applyAlignment="1">
      <alignment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0" xfId="0" applyFont="1" applyBorder="1" applyAlignment="1">
      <alignment vertical="center" wrapText="1"/>
    </xf>
    <xf numFmtId="0" fontId="13" fillId="0" borderId="0" xfId="0" applyFont="1" applyBorder="1" applyAlignment="1">
      <alignment vertical="center" wrapText="1"/>
    </xf>
    <xf numFmtId="0" fontId="11" fillId="0" borderId="10" xfId="0" applyFont="1" applyBorder="1" applyAlignment="1">
      <alignment horizontal="center" vertical="center"/>
    </xf>
    <xf numFmtId="0" fontId="11" fillId="0" borderId="18" xfId="0" applyFont="1" applyBorder="1" applyAlignment="1">
      <alignment horizontal="center" vertical="center"/>
    </xf>
    <xf numFmtId="0" fontId="11" fillId="17" borderId="21" xfId="0" applyFont="1" applyFill="1" applyBorder="1" applyAlignment="1">
      <alignment horizontal="center"/>
    </xf>
    <xf numFmtId="0" fontId="14" fillId="0" borderId="0" xfId="0" applyFont="1" applyAlignment="1">
      <alignment horizontal="center"/>
    </xf>
    <xf numFmtId="0" fontId="11" fillId="0" borderId="5" xfId="0" applyFont="1" applyBorder="1" applyAlignment="1"/>
    <xf numFmtId="0" fontId="13" fillId="15" borderId="21" xfId="0" applyFont="1" applyFill="1" applyBorder="1" applyAlignment="1">
      <alignment horizontal="center"/>
    </xf>
    <xf numFmtId="0" fontId="13" fillId="4" borderId="21" xfId="0" applyFont="1" applyFill="1" applyBorder="1" applyAlignment="1">
      <alignment horizontal="center"/>
    </xf>
    <xf numFmtId="0" fontId="11" fillId="14" borderId="22" xfId="0" applyFont="1" applyFill="1" applyBorder="1" applyAlignment="1"/>
    <xf numFmtId="0" fontId="11" fillId="14" borderId="23" xfId="0" applyFont="1" applyFill="1" applyBorder="1" applyAlignment="1"/>
    <xf numFmtId="0" fontId="13" fillId="3" borderId="24" xfId="0" applyFont="1" applyFill="1" applyBorder="1" applyAlignment="1">
      <alignment horizontal="center"/>
    </xf>
    <xf numFmtId="0" fontId="13" fillId="0" borderId="0" xfId="0" applyFont="1" applyAlignment="1">
      <alignment horizontal="center"/>
    </xf>
    <xf numFmtId="0" fontId="11" fillId="4" borderId="0" xfId="0" applyFont="1" applyFill="1" applyAlignment="1">
      <alignment horizontal="center"/>
    </xf>
    <xf numFmtId="0" fontId="11" fillId="18" borderId="24" xfId="0" applyFont="1" applyFill="1" applyBorder="1" applyAlignment="1">
      <alignment horizontal="center"/>
    </xf>
    <xf numFmtId="0" fontId="11" fillId="19" borderId="0" xfId="0" applyFont="1" applyFill="1" applyAlignment="1">
      <alignment horizontal="center"/>
    </xf>
    <xf numFmtId="0" fontId="13" fillId="2" borderId="22" xfId="0" applyFont="1" applyFill="1" applyBorder="1" applyAlignment="1"/>
    <xf numFmtId="0" fontId="13" fillId="2" borderId="25" xfId="0" applyFont="1" applyFill="1" applyBorder="1" applyAlignment="1"/>
    <xf numFmtId="0" fontId="11" fillId="2" borderId="23" xfId="0" applyFont="1" applyFill="1" applyBorder="1" applyAlignment="1"/>
    <xf numFmtId="0" fontId="13" fillId="2" borderId="26" xfId="0" applyFont="1" applyFill="1" applyBorder="1" applyAlignment="1"/>
    <xf numFmtId="0" fontId="13" fillId="0" borderId="0" xfId="0" applyFont="1" applyFill="1" applyBorder="1" applyAlignment="1"/>
    <xf numFmtId="0" fontId="11" fillId="0" borderId="0" xfId="0" applyFont="1" applyFill="1" applyBorder="1" applyAlignment="1"/>
    <xf numFmtId="0" fontId="3" fillId="4" borderId="0" xfId="0" applyFont="1" applyFill="1" applyAlignment="1" applyProtection="1"/>
    <xf numFmtId="0" fontId="2" fillId="4" borderId="0" xfId="0" applyFont="1" applyFill="1" applyAlignment="1" applyProtection="1"/>
    <xf numFmtId="0" fontId="3" fillId="4" borderId="0" xfId="0" applyFont="1" applyFill="1" applyProtection="1"/>
    <xf numFmtId="0" fontId="2" fillId="0" borderId="0" xfId="0" applyFont="1" applyAlignment="1"/>
    <xf numFmtId="0" fontId="11" fillId="14" borderId="25" xfId="0" applyFont="1" applyFill="1" applyBorder="1" applyAlignment="1"/>
    <xf numFmtId="0" fontId="13" fillId="0" borderId="0" xfId="0" applyFont="1" applyBorder="1" applyAlignment="1">
      <alignment wrapText="1"/>
    </xf>
    <xf numFmtId="0" fontId="13" fillId="0" borderId="0" xfId="0" applyFont="1" applyFill="1" applyBorder="1" applyAlignment="1">
      <alignment vertical="center"/>
    </xf>
    <xf numFmtId="0" fontId="11" fillId="0" borderId="0" xfId="0" applyFont="1" applyFill="1" applyBorder="1" applyAlignment="1">
      <alignment horizontal="center"/>
    </xf>
    <xf numFmtId="0" fontId="11" fillId="4" borderId="0" xfId="0" applyFont="1" applyFill="1" applyBorder="1" applyAlignment="1">
      <alignment horizontal="center"/>
    </xf>
    <xf numFmtId="0" fontId="13" fillId="0" borderId="0" xfId="0" applyFont="1" applyFill="1" applyBorder="1" applyAlignment="1">
      <alignment horizontal="center"/>
    </xf>
    <xf numFmtId="0" fontId="16" fillId="20" borderId="0" xfId="0" applyFont="1" applyFill="1" applyAlignment="1">
      <alignment horizontal="center"/>
    </xf>
    <xf numFmtId="0" fontId="11" fillId="14" borderId="0" xfId="0" applyFont="1" applyFill="1" applyAlignment="1"/>
    <xf numFmtId="0" fontId="11" fillId="14" borderId="0" xfId="0" applyFont="1" applyFill="1" applyAlignment="1">
      <alignment horizontal="center"/>
    </xf>
    <xf numFmtId="0" fontId="11" fillId="0" borderId="0" xfId="0" applyFont="1" applyAlignment="1"/>
    <xf numFmtId="0" fontId="11" fillId="0" borderId="0" xfId="0" applyFont="1" applyFill="1" applyAlignment="1">
      <alignment horizontal="center"/>
    </xf>
    <xf numFmtId="0" fontId="17" fillId="0" borderId="0" xfId="0" applyFont="1" applyAlignment="1">
      <alignment horizontal="center"/>
    </xf>
    <xf numFmtId="0" fontId="11" fillId="0" borderId="0" xfId="0" applyFont="1" applyFill="1" applyAlignment="1">
      <alignment horizontal="center" vertical="center"/>
    </xf>
    <xf numFmtId="0" fontId="11" fillId="0" borderId="0" xfId="0" applyFont="1" applyFill="1" applyAlignment="1">
      <alignment vertical="center"/>
    </xf>
    <xf numFmtId="0" fontId="11" fillId="14" borderId="0" xfId="0" applyFont="1" applyFill="1" applyAlignment="1">
      <alignment vertical="center"/>
    </xf>
    <xf numFmtId="0" fontId="11" fillId="14" borderId="0" xfId="0" applyFont="1" applyFill="1" applyBorder="1" applyAlignment="1">
      <alignment horizontal="center"/>
    </xf>
    <xf numFmtId="0" fontId="14" fillId="0" borderId="0" xfId="0" applyFont="1" applyFill="1" applyAlignment="1">
      <alignment horizontal="center"/>
    </xf>
    <xf numFmtId="0" fontId="12" fillId="0" borderId="0" xfId="0" applyFont="1" applyAlignment="1"/>
    <xf numFmtId="0" fontId="11" fillId="0" borderId="0" xfId="0" applyFont="1" applyFill="1" applyBorder="1" applyAlignment="1">
      <alignment horizontal="center" vertical="center"/>
    </xf>
    <xf numFmtId="0" fontId="11" fillId="14" borderId="0" xfId="0" applyFont="1" applyFill="1" applyBorder="1" applyAlignment="1"/>
    <xf numFmtId="0" fontId="11" fillId="14" borderId="0" xfId="0" applyFont="1" applyFill="1" applyBorder="1" applyAlignment="1">
      <alignment horizontal="center" vertical="center"/>
    </xf>
    <xf numFmtId="0" fontId="11" fillId="0" borderId="0" xfId="0" applyFont="1" applyAlignment="1">
      <alignment horizontal="left"/>
    </xf>
    <xf numFmtId="0" fontId="11" fillId="0" borderId="0" xfId="0" applyFont="1"/>
    <xf numFmtId="0" fontId="12" fillId="0" borderId="0" xfId="0" applyFont="1"/>
    <xf numFmtId="2" fontId="0" fillId="2" borderId="0" xfId="0" applyNumberFormat="1" applyFill="1"/>
    <xf numFmtId="176" fontId="0" fillId="2" borderId="0" xfId="0" applyNumberFormat="1" applyFill="1"/>
    <xf numFmtId="0" fontId="1" fillId="4" borderId="0" xfId="0" applyFont="1" applyFill="1" applyAlignment="1" applyProtection="1"/>
    <xf numFmtId="0" fontId="1" fillId="4" borderId="0" xfId="0" applyFont="1" applyFill="1" applyProtection="1"/>
    <xf numFmtId="0" fontId="0" fillId="12" borderId="0" xfId="0" applyFill="1" applyAlignment="1">
      <alignment horizontal="center"/>
    </xf>
    <xf numFmtId="0" fontId="23" fillId="0" borderId="0" xfId="0" applyFont="1"/>
    <xf numFmtId="0" fontId="0" fillId="12" borderId="0" xfId="0" applyFill="1" applyAlignment="1">
      <alignment horizontal="center"/>
    </xf>
    <xf numFmtId="0" fontId="0" fillId="7" borderId="0" xfId="0" applyFill="1" applyAlignment="1">
      <alignment horizontal="center"/>
    </xf>
    <xf numFmtId="0" fontId="0" fillId="4" borderId="0" xfId="0" applyFill="1" applyAlignment="1">
      <alignment horizontal="center"/>
    </xf>
    <xf numFmtId="0" fontId="0" fillId="0" borderId="0" xfId="0" applyAlignment="1">
      <alignment horizontal="center" vertical="center"/>
    </xf>
    <xf numFmtId="0" fontId="1" fillId="3" borderId="0" xfId="0" applyFont="1" applyFill="1" applyAlignment="1">
      <alignment horizontal="left" vertical="center" wrapText="1"/>
    </xf>
    <xf numFmtId="0" fontId="1" fillId="14" borderId="0" xfId="0" applyFont="1" applyFill="1" applyAlignment="1">
      <alignment horizontal="left" vertical="top" wrapText="1"/>
    </xf>
    <xf numFmtId="0" fontId="1" fillId="2" borderId="0" xfId="0" applyFont="1" applyFill="1" applyAlignment="1">
      <alignment horizontal="center"/>
    </xf>
    <xf numFmtId="0" fontId="1" fillId="4" borderId="0" xfId="0" applyFont="1" applyFill="1" applyAlignment="1" applyProtection="1">
      <alignment horizontal="left"/>
    </xf>
    <xf numFmtId="0" fontId="0" fillId="0" borderId="0" xfId="0" applyAlignment="1">
      <alignment horizontal="center"/>
    </xf>
    <xf numFmtId="0" fontId="15" fillId="14" borderId="0" xfId="0" applyFont="1" applyFill="1" applyAlignment="1">
      <alignment horizontal="left" vertical="center" wrapText="1"/>
    </xf>
    <xf numFmtId="0" fontId="12" fillId="0" borderId="22" xfId="0" applyFont="1" applyBorder="1" applyAlignment="1">
      <alignment horizontal="center"/>
    </xf>
    <xf numFmtId="0" fontId="12" fillId="0" borderId="23" xfId="0" applyFont="1" applyBorder="1" applyAlignment="1">
      <alignment horizontal="center"/>
    </xf>
    <xf numFmtId="0" fontId="12" fillId="0" borderId="0" xfId="0" applyFont="1" applyAlignment="1">
      <alignment horizontal="center"/>
    </xf>
    <xf numFmtId="0" fontId="3" fillId="2" borderId="0" xfId="0" applyFont="1" applyFill="1" applyAlignment="1">
      <alignment horizontal="center"/>
    </xf>
    <xf numFmtId="0" fontId="3" fillId="4" borderId="0" xfId="0" applyFont="1" applyFill="1" applyAlignment="1" applyProtection="1">
      <alignment horizontal="left"/>
    </xf>
    <xf numFmtId="0" fontId="0" fillId="0" borderId="0" xfId="0" applyFont="1" applyBorder="1" applyAlignment="1">
      <alignment horizontal="center" vertical="center"/>
    </xf>
    <xf numFmtId="0" fontId="0" fillId="0" borderId="0" xfId="0" applyFont="1" applyAlignment="1">
      <alignment horizontal="center"/>
    </xf>
    <xf numFmtId="37" fontId="2" fillId="4" borderId="0" xfId="1" applyNumberFormat="1" applyFont="1" applyFill="1" applyBorder="1" applyAlignment="1">
      <alignment horizontal="center"/>
    </xf>
    <xf numFmtId="37" fontId="2" fillId="0" borderId="0" xfId="1" applyNumberFormat="1" applyFont="1" applyBorder="1" applyAlignment="1">
      <alignment horizontal="center"/>
    </xf>
    <xf numFmtId="0" fontId="0" fillId="0" borderId="11" xfId="0" applyFont="1" applyBorder="1" applyAlignment="1">
      <alignment horizontal="center" vertical="center"/>
    </xf>
    <xf numFmtId="0" fontId="0" fillId="2" borderId="0" xfId="0" applyFill="1" applyAlignment="1">
      <alignment horizontal="center"/>
    </xf>
    <xf numFmtId="0" fontId="0" fillId="2" borderId="0" xfId="0" applyFont="1" applyFill="1" applyAlignment="1">
      <alignment horizontal="center"/>
    </xf>
    <xf numFmtId="0" fontId="3" fillId="0" borderId="0" xfId="0" applyFont="1" applyFill="1" applyAlignment="1">
      <alignment horizontal="center" vertical="center" textRotation="90" wrapText="1"/>
    </xf>
    <xf numFmtId="0" fontId="7" fillId="2" borderId="0" xfId="0" applyFont="1" applyFill="1" applyAlignment="1">
      <alignment horizontal="center"/>
    </xf>
    <xf numFmtId="0" fontId="0" fillId="0" borderId="0" xfId="0" applyFill="1" applyAlignment="1">
      <alignment horizontal="right"/>
    </xf>
    <xf numFmtId="0" fontId="0" fillId="0" borderId="0" xfId="0" applyFill="1" applyBorder="1" applyAlignment="1">
      <alignment horizontal="center" vertical="center" wrapText="1"/>
    </xf>
    <xf numFmtId="0" fontId="0" fillId="0" borderId="0" xfId="0" applyFill="1" applyAlignment="1">
      <alignment horizontal="center" vertical="center"/>
    </xf>
    <xf numFmtId="0" fontId="1" fillId="0" borderId="0" xfId="0" applyFont="1" applyFill="1" applyAlignment="1">
      <alignment horizontal="center"/>
    </xf>
    <xf numFmtId="0" fontId="0" fillId="0" borderId="0" xfId="0" applyFill="1" applyAlignment="1">
      <alignment horizontal="center"/>
    </xf>
    <xf numFmtId="0" fontId="0" fillId="0" borderId="19"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vertical="center"/>
    </xf>
    <xf numFmtId="0" fontId="0" fillId="0" borderId="19" xfId="0" applyBorder="1" applyAlignment="1">
      <alignment horizontal="center" vertical="center" textRotation="90"/>
    </xf>
    <xf numFmtId="0" fontId="0" fillId="0" borderId="11" xfId="0" applyBorder="1" applyAlignment="1">
      <alignment horizontal="center" vertical="center" textRotation="90"/>
    </xf>
    <xf numFmtId="0" fontId="0" fillId="0" borderId="10" xfId="0" applyBorder="1" applyAlignment="1">
      <alignment horizontal="center" vertical="center" textRotation="90"/>
    </xf>
    <xf numFmtId="0" fontId="9" fillId="0" borderId="0" xfId="0" applyFont="1" applyFill="1" applyAlignment="1">
      <alignment horizontal="center" vertical="center" wrapText="1"/>
    </xf>
    <xf numFmtId="37" fontId="9" fillId="0" borderId="0" xfId="1" applyNumberFormat="1" applyFont="1" applyFill="1" applyBorder="1" applyAlignment="1" applyProtection="1">
      <alignment horizontal="center" wrapText="1"/>
    </xf>
    <xf numFmtId="0" fontId="1" fillId="15" borderId="0" xfId="0" applyFont="1" applyFill="1" applyAlignment="1">
      <alignment horizontal="center"/>
    </xf>
    <xf numFmtId="0" fontId="7" fillId="0" borderId="0" xfId="0" applyFont="1" applyAlignment="1">
      <alignment horizontal="center"/>
    </xf>
    <xf numFmtId="0" fontId="0" fillId="0" borderId="0" xfId="0" applyNumberFormat="1" applyFont="1" applyAlignment="1">
      <alignment horizontal="center"/>
    </xf>
    <xf numFmtId="0" fontId="0" fillId="0" borderId="11" xfId="0" applyFill="1" applyBorder="1" applyAlignment="1">
      <alignment horizontal="center"/>
    </xf>
    <xf numFmtId="0" fontId="0" fillId="0" borderId="0" xfId="0" applyFill="1" applyBorder="1" applyAlignment="1">
      <alignment horizontal="center"/>
    </xf>
    <xf numFmtId="0" fontId="0" fillId="0" borderId="12" xfId="0" applyFill="1" applyBorder="1" applyAlignment="1">
      <alignment horizontal="center"/>
    </xf>
    <xf numFmtId="0" fontId="1" fillId="0" borderId="3" xfId="0" applyNumberFormat="1" applyFont="1" applyBorder="1" applyAlignment="1">
      <alignment horizontal="center" vertical="center"/>
    </xf>
    <xf numFmtId="0" fontId="1" fillId="0" borderId="0" xfId="0" applyFont="1" applyFill="1" applyAlignment="1">
      <alignment horizontal="center" vertical="center"/>
    </xf>
    <xf numFmtId="176" fontId="1" fillId="9" borderId="0" xfId="0" applyNumberFormat="1" applyFont="1" applyFill="1" applyAlignment="1">
      <alignment horizontal="center" vertical="center"/>
    </xf>
    <xf numFmtId="0" fontId="0" fillId="6" borderId="0" xfId="0" applyFill="1" applyAlignment="1">
      <alignment horizontal="center"/>
    </xf>
    <xf numFmtId="0" fontId="1" fillId="4" borderId="0" xfId="0" applyFont="1" applyFill="1" applyAlignment="1">
      <alignment horizontal="center"/>
    </xf>
    <xf numFmtId="176" fontId="1" fillId="10" borderId="0" xfId="0" applyNumberFormat="1" applyFont="1" applyFill="1" applyAlignment="1">
      <alignment horizontal="center"/>
    </xf>
    <xf numFmtId="0" fontId="1" fillId="7" borderId="0" xfId="0" applyFont="1" applyFill="1" applyAlignment="1">
      <alignment horizontal="center" vertical="center"/>
    </xf>
    <xf numFmtId="2" fontId="1" fillId="3" borderId="0" xfId="0" applyNumberFormat="1" applyFont="1" applyFill="1" applyAlignment="1">
      <alignment horizontal="center" vertical="center"/>
    </xf>
    <xf numFmtId="0" fontId="1" fillId="9" borderId="0" xfId="0" applyFont="1" applyFill="1" applyAlignment="1">
      <alignment horizontal="center"/>
    </xf>
    <xf numFmtId="0" fontId="1" fillId="3" borderId="0" xfId="0" applyFont="1" applyFill="1" applyAlignment="1">
      <alignment horizontal="center"/>
    </xf>
    <xf numFmtId="0" fontId="1" fillId="7" borderId="0" xfId="0" applyFont="1" applyFill="1" applyAlignment="1">
      <alignment horizontal="center"/>
    </xf>
    <xf numFmtId="0" fontId="1" fillId="5" borderId="0" xfId="0" applyFont="1" applyFill="1" applyAlignment="1">
      <alignment horizontal="center"/>
    </xf>
    <xf numFmtId="0" fontId="1" fillId="8" borderId="0" xfId="0" applyFont="1" applyFill="1" applyAlignment="1">
      <alignment horizontal="center"/>
    </xf>
    <xf numFmtId="0" fontId="1" fillId="0" borderId="0" xfId="0" applyFont="1" applyAlignment="1">
      <alignment horizontal="center"/>
    </xf>
  </cellXfs>
  <cellStyles count="2">
    <cellStyle name="Normal_COUNTS" xfId="1" xr:uid="{00000000-0005-0000-0000-000023000000}"/>
    <cellStyle name="常规" xfId="0" builtinId="0"/>
  </cellStyles>
  <dxfs count="44">
    <dxf>
      <fill>
        <patternFill patternType="solid">
          <bgColor rgb="FF00FF00"/>
        </patternFill>
      </fill>
    </dxf>
    <dxf>
      <fill>
        <patternFill patternType="solid">
          <bgColor rgb="FF00B050"/>
        </patternFill>
      </fill>
    </dxf>
    <dxf>
      <fill>
        <patternFill patternType="solid">
          <bgColor rgb="FF0070C0"/>
        </patternFill>
      </fill>
    </dxf>
    <dxf>
      <fill>
        <patternFill patternType="solid">
          <bgColor rgb="FFFFFF00"/>
        </patternFill>
      </fill>
    </dxf>
    <dxf>
      <fill>
        <patternFill patternType="solid">
          <bgColor rgb="FFFFC000"/>
        </patternFill>
      </fill>
    </dxf>
    <dxf>
      <fill>
        <patternFill patternType="solid">
          <bgColor rgb="FFFF0000"/>
        </patternFill>
      </fill>
    </dxf>
    <dxf>
      <fill>
        <patternFill patternType="none"/>
      </fill>
    </dxf>
    <dxf>
      <fill>
        <patternFill patternType="solid">
          <bgColor rgb="FF00FF00"/>
        </patternFill>
      </fill>
    </dxf>
    <dxf>
      <fill>
        <patternFill patternType="solid">
          <bgColor rgb="FF00B050"/>
        </patternFill>
      </fill>
    </dxf>
    <dxf>
      <fill>
        <patternFill patternType="solid">
          <bgColor rgb="FF0070C0"/>
        </patternFill>
      </fill>
    </dxf>
    <dxf>
      <fill>
        <patternFill patternType="solid">
          <bgColor rgb="FFFFFF00"/>
        </patternFill>
      </fill>
    </dxf>
    <dxf>
      <fill>
        <patternFill patternType="solid">
          <bgColor rgb="FFFFC000"/>
        </patternFill>
      </fill>
    </dxf>
    <dxf>
      <fill>
        <patternFill patternType="solid">
          <bgColor rgb="FFFF0000"/>
        </patternFill>
      </fill>
    </dxf>
    <dxf>
      <fill>
        <patternFill patternType="none"/>
      </fill>
    </dxf>
    <dxf>
      <fill>
        <patternFill patternType="solid">
          <bgColor rgb="FFFF0000"/>
        </patternFill>
      </fill>
    </dxf>
    <dxf>
      <fill>
        <patternFill patternType="solid">
          <bgColor rgb="FF00FF00"/>
        </patternFill>
      </fill>
    </dxf>
    <dxf>
      <fill>
        <patternFill patternType="solid">
          <bgColor rgb="FF00B050"/>
        </patternFill>
      </fill>
    </dxf>
    <dxf>
      <fill>
        <patternFill patternType="solid">
          <bgColor rgb="FF0070C0"/>
        </patternFill>
      </fill>
    </dxf>
    <dxf>
      <fill>
        <patternFill patternType="solid">
          <bgColor rgb="FFFFFF00"/>
        </patternFill>
      </fill>
    </dxf>
    <dxf>
      <fill>
        <patternFill patternType="solid">
          <bgColor rgb="FFFFC000"/>
        </patternFill>
      </fill>
    </dxf>
    <dxf>
      <fill>
        <patternFill patternType="solid">
          <bgColor rgb="FFFF0000"/>
        </patternFill>
      </fill>
    </dxf>
    <dxf>
      <fill>
        <patternFill patternType="none"/>
      </fill>
    </dxf>
    <dxf>
      <font>
        <b val="0"/>
        <i val="0"/>
        <color auto="1"/>
      </font>
      <fill>
        <patternFill patternType="solid">
          <bgColor rgb="FFFFFF00"/>
        </patternFill>
      </fill>
    </dxf>
    <dxf>
      <font>
        <b val="0"/>
        <i val="0"/>
        <color auto="1"/>
      </font>
      <fill>
        <patternFill patternType="solid">
          <bgColor rgb="FF00B0F0"/>
        </patternFill>
      </fill>
    </dxf>
    <dxf>
      <font>
        <color rgb="FFFF0000"/>
      </font>
    </dxf>
    <dxf>
      <font>
        <color rgb="FFFF0000"/>
      </font>
    </dxf>
    <dxf>
      <font>
        <color rgb="FFFF0000"/>
      </font>
    </dxf>
    <dxf>
      <font>
        <b val="0"/>
        <i val="0"/>
        <color auto="1"/>
      </font>
      <fill>
        <patternFill patternType="solid">
          <bgColor rgb="FFFFFF00"/>
        </patternFill>
      </fill>
    </dxf>
    <dxf>
      <font>
        <b val="0"/>
        <i val="0"/>
        <color auto="1"/>
      </font>
      <fill>
        <patternFill patternType="solid">
          <bgColor rgb="FF00B0F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b val="0"/>
        <i val="0"/>
        <strike val="0"/>
        <color auto="1"/>
      </font>
      <fill>
        <patternFill patternType="solid">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Phasing!$AC$33:$AC$40</c:f>
              <c:numCache>
                <c:formatCode>General</c:formatCode>
                <c:ptCount val="8"/>
                <c:pt idx="0">
                  <c:v>44</c:v>
                </c:pt>
                <c:pt idx="1">
                  <c:v>44</c:v>
                </c:pt>
                <c:pt idx="2">
                  <c:v>0</c:v>
                </c:pt>
                <c:pt idx="3">
                  <c:v>0</c:v>
                </c:pt>
                <c:pt idx="4">
                  <c:v>44</c:v>
                </c:pt>
                <c:pt idx="5">
                  <c:v>44</c:v>
                </c:pt>
                <c:pt idx="6">
                  <c:v>0</c:v>
                </c:pt>
                <c:pt idx="7">
                  <c:v>0</c:v>
                </c:pt>
              </c:numCache>
            </c:numRef>
          </c:val>
          <c:extLst>
            <c:ext xmlns:c16="http://schemas.microsoft.com/office/drawing/2014/chart" uri="{C3380CC4-5D6E-409C-BE32-E72D297353CC}">
              <c16:uniqueId val="{00000000-B913-4A26-BDC1-385466B25319}"/>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rot="0" spcFirstLastPara="0" vertOverflow="ellipsis" vert="horz" wrap="square" lIns="38100" tIns="19050" rIns="38100" bIns="19050"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Phasing!$AD$33:$AD$40</c:f>
              <c:numCache>
                <c:formatCode>General</c:formatCode>
                <c:ptCount val="8"/>
                <c:pt idx="0">
                  <c:v>29.900000000000002</c:v>
                </c:pt>
                <c:pt idx="1">
                  <c:v>0</c:v>
                </c:pt>
                <c:pt idx="2">
                  <c:v>38.299999999999997</c:v>
                </c:pt>
                <c:pt idx="3">
                  <c:v>0</c:v>
                </c:pt>
                <c:pt idx="4">
                  <c:v>29.900000000000002</c:v>
                </c:pt>
                <c:pt idx="5">
                  <c:v>0</c:v>
                </c:pt>
                <c:pt idx="6">
                  <c:v>38.299999999999997</c:v>
                </c:pt>
                <c:pt idx="7">
                  <c:v>0</c:v>
                </c:pt>
              </c:numCache>
            </c:numRef>
          </c:val>
          <c:extLst>
            <c:ext xmlns:c16="http://schemas.microsoft.com/office/drawing/2014/chart" uri="{C3380CC4-5D6E-409C-BE32-E72D297353CC}">
              <c16:uniqueId val="{00000001-B913-4A26-BDC1-385466B25319}"/>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rot="0" spcFirstLastPara="0" vertOverflow="ellipsis" vert="horz" wrap="square" lIns="38100" tIns="19050" rIns="38100" bIns="19050"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Phasing!$AE$33:$AE$40</c:f>
              <c:numCache>
                <c:formatCode>General</c:formatCode>
                <c:ptCount val="8"/>
                <c:pt idx="0">
                  <c:v>3.9</c:v>
                </c:pt>
                <c:pt idx="1">
                  <c:v>0</c:v>
                </c:pt>
                <c:pt idx="2">
                  <c:v>3.2</c:v>
                </c:pt>
                <c:pt idx="3">
                  <c:v>0</c:v>
                </c:pt>
                <c:pt idx="4">
                  <c:v>3.9</c:v>
                </c:pt>
                <c:pt idx="5">
                  <c:v>0</c:v>
                </c:pt>
                <c:pt idx="6">
                  <c:v>3.2</c:v>
                </c:pt>
                <c:pt idx="7">
                  <c:v>0</c:v>
                </c:pt>
              </c:numCache>
            </c:numRef>
          </c:val>
          <c:extLst>
            <c:ext xmlns:c16="http://schemas.microsoft.com/office/drawing/2014/chart" uri="{C3380CC4-5D6E-409C-BE32-E72D297353CC}">
              <c16:uniqueId val="{00000002-B913-4A26-BDC1-385466B25319}"/>
            </c:ext>
          </c:extLst>
        </c:ser>
        <c:ser>
          <c:idx val="3"/>
          <c:order val="3"/>
          <c:tx>
            <c:strRef>
              <c:f>Phasing!$AF$32</c:f>
              <c:strCache>
                <c:ptCount val="1"/>
                <c:pt idx="0">
                  <c:v>red 2</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Phasing!$AF$33:$AF$40</c:f>
              <c:numCache>
                <c:formatCode>0.0</c:formatCode>
                <c:ptCount val="8"/>
                <c:pt idx="0">
                  <c:v>2.1999999999999886</c:v>
                </c:pt>
                <c:pt idx="1">
                  <c:v>36</c:v>
                </c:pt>
                <c:pt idx="2">
                  <c:v>38.5</c:v>
                </c:pt>
                <c:pt idx="3">
                  <c:v>80</c:v>
                </c:pt>
                <c:pt idx="4">
                  <c:v>2.1999999999999886</c:v>
                </c:pt>
                <c:pt idx="5">
                  <c:v>36</c:v>
                </c:pt>
                <c:pt idx="6">
                  <c:v>38.5</c:v>
                </c:pt>
                <c:pt idx="7">
                  <c:v>80</c:v>
                </c:pt>
              </c:numCache>
            </c:numRef>
          </c:val>
          <c:extLst>
            <c:ext xmlns:c16="http://schemas.microsoft.com/office/drawing/2014/chart" uri="{C3380CC4-5D6E-409C-BE32-E72D297353CC}">
              <c16:uniqueId val="{00000003-B913-4A26-BDC1-385466B25319}"/>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rot="-5400000" spcFirstLastPara="0" vertOverflow="ellipsis" vert="horz" wrap="square" anchor="ctr" anchorCtr="1"/>
              <a:lstStyle/>
              <a:p>
                <a:pPr>
                  <a:defRPr lang="en-US" sz="14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r>
                  <a:rPr lang="en-US"/>
                  <a:t>Phase</a:t>
                </a:r>
              </a:p>
            </c:rich>
          </c:tx>
          <c:overlay val="0"/>
        </c:title>
        <c:numFmt formatCode="General" sourceLinked="1"/>
        <c:majorTickMark val="out"/>
        <c:minorTickMark val="none"/>
        <c:tickLblPos val="nextTo"/>
        <c:spPr>
          <a:ln w="9525" cap="flat" cmpd="sng" algn="ctr">
            <a:solidFill>
              <a:sysClr val="windowText" lastClr="000000"/>
            </a:solidFill>
            <a:prstDash val="solid"/>
            <a:round/>
          </a:ln>
        </c:spPr>
        <c:txPr>
          <a:bodyPr rot="0" spcFirstLastPara="0" vertOverflow="ellipsis" vert="horz" wrap="square"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crossAx val="173527808"/>
        <c:crosses val="autoZero"/>
        <c:auto val="1"/>
        <c:lblAlgn val="ctr"/>
        <c:lblOffset val="100"/>
        <c:noMultiLvlLbl val="0"/>
      </c:catAx>
      <c:valAx>
        <c:axId val="173527808"/>
        <c:scaling>
          <c:orientation val="minMax"/>
        </c:scaling>
        <c:delete val="0"/>
        <c:axPos val="b"/>
        <c:majorGridlines/>
        <c:title>
          <c:tx>
            <c:rich>
              <a:bodyPr rot="0" spcFirstLastPara="0" vertOverflow="ellipsis" vert="horz" wrap="square" anchor="ctr" anchorCtr="1"/>
              <a:lstStyle/>
              <a:p>
                <a:pPr>
                  <a:defRPr lang="en-US" sz="14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r>
                  <a:rPr lang="en-US"/>
                  <a:t>Seconds</a:t>
                </a:r>
              </a:p>
            </c:rich>
          </c:tx>
          <c:overlay val="0"/>
        </c:title>
        <c:numFmt formatCode="General" sourceLinked="1"/>
        <c:majorTickMark val="out"/>
        <c:minorTickMark val="none"/>
        <c:tickLblPos val="nextTo"/>
        <c:spPr>
          <a:ln w="9525" cap="flat" cmpd="sng" algn="ctr">
            <a:solidFill>
              <a:sysClr val="windowText" lastClr="000000"/>
            </a:solidFill>
            <a:prstDash val="solid"/>
            <a:round/>
          </a:ln>
        </c:spPr>
        <c:txPr>
          <a:bodyPr rot="0" spcFirstLastPara="0" vertOverflow="ellipsis" vert="horz" wrap="square"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crossAx val="173513344"/>
        <c:crosses val="autoZero"/>
        <c:crossBetween val="between"/>
        <c:majorUnit val="5"/>
      </c:valAx>
      <c:spPr>
        <a:ln>
          <a:solidFill>
            <a:sysClr val="windowText" lastClr="000000"/>
          </a:solidFill>
        </a:ln>
      </c:spPr>
    </c:plotArea>
    <c:plotVisOnly val="1"/>
    <c:dispBlanksAs val="gap"/>
    <c:showDLblsOverMax val="0"/>
  </c:chart>
  <c:spPr>
    <a:ln w="9525" cap="flat" cmpd="sng" algn="ctr">
      <a:noFill/>
      <a:prstDash val="solid"/>
      <a:round/>
    </a:ln>
  </c:spPr>
  <c:txPr>
    <a:bodyPr/>
    <a:lstStyle/>
    <a:p>
      <a:pPr>
        <a:defRPr lang="en-US" sz="1200" b="0" i="0" u="none" strike="noStrike"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Phasing!$AC$33:$AC$40</c:f>
              <c:numCache>
                <c:formatCode>General</c:formatCode>
                <c:ptCount val="8"/>
                <c:pt idx="0">
                  <c:v>44</c:v>
                </c:pt>
                <c:pt idx="1">
                  <c:v>44</c:v>
                </c:pt>
                <c:pt idx="2">
                  <c:v>0</c:v>
                </c:pt>
                <c:pt idx="3">
                  <c:v>0</c:v>
                </c:pt>
                <c:pt idx="4">
                  <c:v>44</c:v>
                </c:pt>
                <c:pt idx="5">
                  <c:v>44</c:v>
                </c:pt>
                <c:pt idx="6">
                  <c:v>0</c:v>
                </c:pt>
                <c:pt idx="7">
                  <c:v>0</c:v>
                </c:pt>
              </c:numCache>
            </c:numRef>
          </c:val>
          <c:extLst>
            <c:ext xmlns:c16="http://schemas.microsoft.com/office/drawing/2014/chart" uri="{C3380CC4-5D6E-409C-BE32-E72D297353CC}">
              <c16:uniqueId val="{00000000-0AFB-41EA-980F-C0085BE443A4}"/>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rot="0" spcFirstLastPara="0" vertOverflow="ellipsis" vert="horz" wrap="square" lIns="38100" tIns="19050" rIns="38100" bIns="19050"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Phasing!$AD$33:$AD$40</c:f>
              <c:numCache>
                <c:formatCode>General</c:formatCode>
                <c:ptCount val="8"/>
                <c:pt idx="0">
                  <c:v>29.900000000000002</c:v>
                </c:pt>
                <c:pt idx="1">
                  <c:v>0</c:v>
                </c:pt>
                <c:pt idx="2">
                  <c:v>38.299999999999997</c:v>
                </c:pt>
                <c:pt idx="3">
                  <c:v>0</c:v>
                </c:pt>
                <c:pt idx="4">
                  <c:v>29.900000000000002</c:v>
                </c:pt>
                <c:pt idx="5">
                  <c:v>0</c:v>
                </c:pt>
                <c:pt idx="6">
                  <c:v>38.299999999999997</c:v>
                </c:pt>
                <c:pt idx="7">
                  <c:v>0</c:v>
                </c:pt>
              </c:numCache>
            </c:numRef>
          </c:val>
          <c:extLst>
            <c:ext xmlns:c16="http://schemas.microsoft.com/office/drawing/2014/chart" uri="{C3380CC4-5D6E-409C-BE32-E72D297353CC}">
              <c16:uniqueId val="{00000001-0AFB-41EA-980F-C0085BE443A4}"/>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rot="0" spcFirstLastPara="0" vertOverflow="ellipsis" vert="horz" wrap="square" lIns="38100" tIns="19050" rIns="38100" bIns="19050"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Phasing!$AE$33:$AE$40</c:f>
              <c:numCache>
                <c:formatCode>General</c:formatCode>
                <c:ptCount val="8"/>
                <c:pt idx="0">
                  <c:v>3.9</c:v>
                </c:pt>
                <c:pt idx="1">
                  <c:v>0</c:v>
                </c:pt>
                <c:pt idx="2">
                  <c:v>3.2</c:v>
                </c:pt>
                <c:pt idx="3">
                  <c:v>0</c:v>
                </c:pt>
                <c:pt idx="4">
                  <c:v>3.9</c:v>
                </c:pt>
                <c:pt idx="5">
                  <c:v>0</c:v>
                </c:pt>
                <c:pt idx="6">
                  <c:v>3.2</c:v>
                </c:pt>
                <c:pt idx="7">
                  <c:v>0</c:v>
                </c:pt>
              </c:numCache>
            </c:numRef>
          </c:val>
          <c:extLst>
            <c:ext xmlns:c16="http://schemas.microsoft.com/office/drawing/2014/chart" uri="{C3380CC4-5D6E-409C-BE32-E72D297353CC}">
              <c16:uniqueId val="{00000002-0AFB-41EA-980F-C0085BE443A4}"/>
            </c:ext>
          </c:extLst>
        </c:ser>
        <c:ser>
          <c:idx val="3"/>
          <c:order val="3"/>
          <c:tx>
            <c:strRef>
              <c:f>Phasing!$AF$32</c:f>
              <c:strCache>
                <c:ptCount val="1"/>
                <c:pt idx="0">
                  <c:v>red 2</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Phasing!$AF$33:$AF$40</c:f>
              <c:numCache>
                <c:formatCode>0.0</c:formatCode>
                <c:ptCount val="8"/>
                <c:pt idx="0">
                  <c:v>2.1999999999999886</c:v>
                </c:pt>
                <c:pt idx="1">
                  <c:v>36</c:v>
                </c:pt>
                <c:pt idx="2">
                  <c:v>38.5</c:v>
                </c:pt>
                <c:pt idx="3">
                  <c:v>80</c:v>
                </c:pt>
                <c:pt idx="4">
                  <c:v>2.1999999999999886</c:v>
                </c:pt>
                <c:pt idx="5">
                  <c:v>36</c:v>
                </c:pt>
                <c:pt idx="6">
                  <c:v>38.5</c:v>
                </c:pt>
                <c:pt idx="7">
                  <c:v>80</c:v>
                </c:pt>
              </c:numCache>
            </c:numRef>
          </c:val>
          <c:extLst>
            <c:ext xmlns:c16="http://schemas.microsoft.com/office/drawing/2014/chart" uri="{C3380CC4-5D6E-409C-BE32-E72D297353CC}">
              <c16:uniqueId val="{00000003-0AFB-41EA-980F-C0085BE443A4}"/>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rot="-5400000" spcFirstLastPara="0" vertOverflow="ellipsis" vert="horz" wrap="square" anchor="ctr" anchorCtr="1"/>
              <a:lstStyle/>
              <a:p>
                <a:pPr>
                  <a:defRPr lang="en-US" sz="14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r>
                  <a:rPr lang="en-US"/>
                  <a:t>Phase</a:t>
                </a:r>
              </a:p>
            </c:rich>
          </c:tx>
          <c:overlay val="0"/>
        </c:title>
        <c:numFmt formatCode="General" sourceLinked="1"/>
        <c:majorTickMark val="out"/>
        <c:minorTickMark val="none"/>
        <c:tickLblPos val="nextTo"/>
        <c:spPr>
          <a:ln w="9525" cap="flat" cmpd="sng" algn="ctr">
            <a:solidFill>
              <a:sysClr val="windowText" lastClr="000000"/>
            </a:solidFill>
            <a:prstDash val="solid"/>
            <a:round/>
          </a:ln>
        </c:spPr>
        <c:txPr>
          <a:bodyPr rot="0" spcFirstLastPara="0" vertOverflow="ellipsis" vert="horz" wrap="square"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crossAx val="174518272"/>
        <c:crosses val="autoZero"/>
        <c:auto val="1"/>
        <c:lblAlgn val="ctr"/>
        <c:lblOffset val="100"/>
        <c:noMultiLvlLbl val="0"/>
      </c:catAx>
      <c:valAx>
        <c:axId val="174518272"/>
        <c:scaling>
          <c:orientation val="minMax"/>
        </c:scaling>
        <c:delete val="0"/>
        <c:axPos val="b"/>
        <c:majorGridlines/>
        <c:title>
          <c:tx>
            <c:rich>
              <a:bodyPr rot="0" spcFirstLastPara="0" vertOverflow="ellipsis" vert="horz" wrap="square" anchor="ctr" anchorCtr="1"/>
              <a:lstStyle/>
              <a:p>
                <a:pPr>
                  <a:defRPr lang="en-US" sz="14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r>
                  <a:rPr lang="en-US"/>
                  <a:t>Seconds</a:t>
                </a:r>
              </a:p>
            </c:rich>
          </c:tx>
          <c:overlay val="0"/>
        </c:title>
        <c:numFmt formatCode="General" sourceLinked="1"/>
        <c:majorTickMark val="out"/>
        <c:minorTickMark val="none"/>
        <c:tickLblPos val="nextTo"/>
        <c:spPr>
          <a:ln w="9525" cap="flat" cmpd="sng" algn="ctr">
            <a:solidFill>
              <a:sysClr val="windowText" lastClr="000000"/>
            </a:solidFill>
            <a:prstDash val="solid"/>
            <a:round/>
          </a:ln>
        </c:spPr>
        <c:txPr>
          <a:bodyPr rot="0" spcFirstLastPara="0" vertOverflow="ellipsis" vert="horz" wrap="square" anchor="ctr" anchorCtr="1"/>
          <a:lstStyle/>
          <a:p>
            <a:pPr>
              <a:defRPr lang="en-US" sz="1200" b="0" i="0" u="none" strike="noStrike" kern="1200"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crossAx val="174503808"/>
        <c:crosses val="autoZero"/>
        <c:crossBetween val="between"/>
        <c:majorUnit val="5"/>
      </c:valAx>
      <c:spPr>
        <a:ln>
          <a:solidFill>
            <a:sysClr val="windowText" lastClr="000000"/>
          </a:solidFill>
        </a:ln>
      </c:spPr>
    </c:plotArea>
    <c:plotVisOnly val="1"/>
    <c:dispBlanksAs val="gap"/>
    <c:showDLblsOverMax val="0"/>
  </c:chart>
  <c:spPr>
    <a:ln w="9525" cap="flat" cmpd="sng" algn="ctr">
      <a:noFill/>
      <a:prstDash val="solid"/>
      <a:round/>
    </a:ln>
  </c:spPr>
  <c:txPr>
    <a:bodyPr/>
    <a:lstStyle/>
    <a:p>
      <a:pPr>
        <a:defRPr lang="en-US" sz="1200" b="0" i="0" u="none" strike="noStrike" baseline="0">
          <a:solidFill>
            <a:srgbClr val="000000"/>
          </a:solidFill>
          <a:latin typeface="Times New Roman" panose="02020603050405020304" pitchFamily="12"/>
          <a:ea typeface="Times New Roman" panose="02020603050405020304" pitchFamily="12"/>
          <a:cs typeface="Times New Roman" panose="02020603050405020304" pitchFamily="12"/>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xdr:nvGrpSpPr>
      <xdr:grpSpPr>
        <a:xfrm>
          <a:off x="4320540" y="1337310"/>
          <a:ext cx="3185160" cy="185356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xdr:nvGrpSpPr>
        <xdr:grpSpPr>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68201" name="Group 6">
            <a:extLst>
              <a:ext uri="{FF2B5EF4-FFF2-40B4-BE49-F238E27FC236}">
                <a16:creationId xmlns:a16="http://schemas.microsoft.com/office/drawing/2014/main" id="{00000000-0008-0000-0100-0000690A0100}"/>
              </a:ext>
            </a:extLst>
          </xdr:cNvPr>
          <xdr:cNvGrpSpPr/>
        </xdr:nvGrpSpPr>
        <xdr:grpSpPr>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219075</xdr:colOff>
      <xdr:row>29</xdr:row>
      <xdr:rowOff>76200</xdr:rowOff>
    </xdr:from>
    <xdr:to>
      <xdr:col>7</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a:xfrm rot="-5400000">
          <a:off x="5170805" y="562419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3</xdr:col>
      <xdr:colOff>142875</xdr:colOff>
      <xdr:row>30</xdr:row>
      <xdr:rowOff>123825</xdr:rowOff>
    </xdr:from>
    <xdr:to>
      <xdr:col>6</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xdr:nvGrpSpPr>
      <xdr:grpSpPr>
        <a:xfrm>
          <a:off x="4072618" y="5686425"/>
          <a:ext cx="2232932" cy="1812471"/>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xdr:nvGrpSpPr>
        <xdr:grpSpPr>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a:xfrm>
              <a:off x="808" y="258"/>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87222" name="Group 6">
            <a:extLst>
              <a:ext uri="{FF2B5EF4-FFF2-40B4-BE49-F238E27FC236}">
                <a16:creationId xmlns:a16="http://schemas.microsoft.com/office/drawing/2014/main" id="{00000000-0008-0000-0200-0000B6540100}"/>
              </a:ext>
            </a:extLst>
          </xdr:cNvPr>
          <xdr:cNvGrpSpPr/>
        </xdr:nvGrpSpPr>
        <xdr:grpSpPr>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a:xfrm>
              <a:off x="744"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a:xfrm rot="5400000">
            <a:off x="691" y="213"/>
            <a:ext cx="19" cy="42"/>
          </a:xfrm>
          <a:prstGeom prst="upArrow">
            <a:avLst>
              <a:gd name="adj1" fmla="val 50000"/>
              <a:gd name="adj2" fmla="val 55263"/>
            </a:avLst>
          </a:prstGeom>
          <a:solidFill>
            <a:srgbClr val="FFFFFF"/>
          </a:solidFill>
          <a:ln w="9525">
            <a:solidFill>
              <a:srgbClr val="000000"/>
            </a:solidFill>
            <a:miter lim="800000"/>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a:xfrm rot="-5400000">
            <a:off x="870" y="180"/>
            <a:ext cx="19" cy="42"/>
          </a:xfrm>
          <a:prstGeom prst="upArrow">
            <a:avLst>
              <a:gd name="adj1" fmla="val 50000"/>
              <a:gd name="adj2" fmla="val 55263"/>
            </a:avLst>
          </a:prstGeom>
          <a:solidFill>
            <a:srgbClr val="FFFFFF"/>
          </a:solidFill>
          <a:ln w="9525">
            <a:solidFill>
              <a:srgbClr val="000000"/>
            </a:solidFill>
            <a:miter lim="800000"/>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63</xdr:col>
          <xdr:colOff>1363980</xdr:colOff>
          <xdr:row>13</xdr:row>
          <xdr:rowOff>83820</xdr:rowOff>
        </xdr:from>
        <xdr:to>
          <xdr:col>66</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600" b="1" i="0" u="none" strike="noStrike" baseline="0">
                  <a:solidFill>
                    <a:srgbClr val="000000"/>
                  </a:solidFill>
                  <a:latin typeface="Calibri"/>
                  <a:cs typeface="Calibri"/>
                </a:rPr>
                <a:t>Optimize Cycle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a:xfrm rot="-5400000">
          <a:off x="12670790" y="770255"/>
          <a:ext cx="77152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a:xfrm rot="-5400000">
          <a:off x="5323205" y="86169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xdr:nvGrpSpPr>
      <xdr:grpSpPr>
        <a:xfrm>
          <a:off x="1597025" y="835025"/>
          <a:ext cx="3571875" cy="19653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xdr:nvGrpSpPr>
        <xdr:grpSpPr>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1049" name="Group 6">
            <a:extLst>
              <a:ext uri="{FF2B5EF4-FFF2-40B4-BE49-F238E27FC236}">
                <a16:creationId xmlns:a16="http://schemas.microsoft.com/office/drawing/2014/main" id="{00000000-0008-0000-0800-0000B98A0100}"/>
              </a:ext>
            </a:extLst>
          </xdr:cNvPr>
          <xdr:cNvGrpSpPr/>
        </xdr:nvGrpSpPr>
        <xdr:grpSpPr>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a:xfrm rot="-5400000">
          <a:off x="5323205" y="415353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a:xfrm rot="-5400000">
          <a:off x="12800330" y="4163060"/>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a:xfrm rot="-5400000">
          <a:off x="5418455" y="775398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a:extLst>
            <a:ext uri="{FF2B5EF4-FFF2-40B4-BE49-F238E27FC236}">
              <a16:creationId xmlns:a16="http://schemas.microsoft.com/office/drawing/2014/main" id="{00000000-0008-0000-0800-0000488A0100}"/>
            </a:ext>
          </a:extLst>
        </xdr:cNvPr>
        <xdr:cNvSpPr>
          <a:spLocks noChangeArrowheads="1"/>
        </xdr:cNvSpPr>
      </xdr:nvSpPr>
      <xdr:spPr>
        <a:xfrm rot="-5400000">
          <a:off x="13379450" y="7773035"/>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a:xfrm rot="-5400000">
          <a:off x="9009380" y="11257280"/>
          <a:ext cx="779145" cy="304800"/>
        </a:xfrm>
        <a:prstGeom prst="notchedRightArrow">
          <a:avLst>
            <a:gd name="adj1" fmla="val 50000"/>
            <a:gd name="adj2" fmla="val 62901"/>
          </a:avLst>
        </a:prstGeom>
        <a:solidFill>
          <a:srgbClr val="FFFFFF"/>
        </a:solidFill>
        <a:ln w="9525">
          <a:solidFill>
            <a:srgbClr val="000000"/>
          </a:solidFill>
          <a:miter lim="800000"/>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xdr:nvGrpSpPr>
      <xdr:grpSpPr>
        <a:xfrm>
          <a:off x="15465425" y="835025"/>
          <a:ext cx="2898775" cy="19653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xdr:nvGrpSpPr>
        <xdr:grpSpPr>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1035" name="Group 6">
            <a:extLst>
              <a:ext uri="{FF2B5EF4-FFF2-40B4-BE49-F238E27FC236}">
                <a16:creationId xmlns:a16="http://schemas.microsoft.com/office/drawing/2014/main" id="{00000000-0008-0000-0800-0000AB8A0100}"/>
              </a:ext>
            </a:extLst>
          </xdr:cNvPr>
          <xdr:cNvGrpSpPr/>
        </xdr:nvGrpSpPr>
        <xdr:grpSpPr>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a:xfrm flipV="1">
          <a:off x="15887700" y="914400"/>
          <a:ext cx="332740" cy="39433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a:xfrm flipH="1">
          <a:off x="17327880" y="2453640"/>
          <a:ext cx="332740" cy="39433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a:xfrm rot="5400000" flipH="1">
          <a:off x="15420340" y="2132965"/>
          <a:ext cx="433705" cy="46990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a:xfrm rot="16200000" flipH="1">
          <a:off x="17892395" y="1271270"/>
          <a:ext cx="389890" cy="3460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xdr:nvGrpSpPr>
      <xdr:grpSpPr>
        <a:xfrm>
          <a:off x="1577975" y="4016375"/>
          <a:ext cx="3571875" cy="19653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xdr:nvGrpSpPr>
        <xdr:grpSpPr>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1021" name="Group 6">
            <a:extLst>
              <a:ext uri="{FF2B5EF4-FFF2-40B4-BE49-F238E27FC236}">
                <a16:creationId xmlns:a16="http://schemas.microsoft.com/office/drawing/2014/main" id="{00000000-0008-0000-0800-00009D8A0100}"/>
              </a:ext>
            </a:extLst>
          </xdr:cNvPr>
          <xdr:cNvGrpSpPr/>
        </xdr:nvGrpSpPr>
        <xdr:grpSpPr>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xdr:nvGrpSpPr>
      <xdr:grpSpPr>
        <a:xfrm>
          <a:off x="9140825" y="796925"/>
          <a:ext cx="3556000" cy="19653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xdr:nvGrpSpPr>
        <xdr:grpSpPr>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1007" name="Group 6">
            <a:extLst>
              <a:ext uri="{FF2B5EF4-FFF2-40B4-BE49-F238E27FC236}">
                <a16:creationId xmlns:a16="http://schemas.microsoft.com/office/drawing/2014/main" id="{00000000-0008-0000-0800-00008F8A0100}"/>
              </a:ext>
            </a:extLst>
          </xdr:cNvPr>
          <xdr:cNvGrpSpPr/>
        </xdr:nvGrpSpPr>
        <xdr:grpSpPr>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xdr:nvGrpSpPr>
      <xdr:grpSpPr>
        <a:xfrm>
          <a:off x="9121775" y="4016375"/>
          <a:ext cx="3565525" cy="19653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xdr:nvGrpSpPr>
        <xdr:grpSpPr>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0993" name="Group 6">
            <a:extLst>
              <a:ext uri="{FF2B5EF4-FFF2-40B4-BE49-F238E27FC236}">
                <a16:creationId xmlns:a16="http://schemas.microsoft.com/office/drawing/2014/main" id="{00000000-0008-0000-0800-0000818A0100}"/>
              </a:ext>
            </a:extLst>
          </xdr:cNvPr>
          <xdr:cNvGrpSpPr/>
        </xdr:nvGrpSpPr>
        <xdr:grpSpPr>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xdr:nvGrpSpPr>
      <xdr:grpSpPr>
        <a:xfrm>
          <a:off x="1654175" y="7534275"/>
          <a:ext cx="3571875" cy="19653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xdr:nvGrpSpPr>
        <xdr:grpSpPr>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0979" name="Group 6">
            <a:extLst>
              <a:ext uri="{FF2B5EF4-FFF2-40B4-BE49-F238E27FC236}">
                <a16:creationId xmlns:a16="http://schemas.microsoft.com/office/drawing/2014/main" id="{00000000-0008-0000-0800-0000738A0100}"/>
              </a:ext>
            </a:extLst>
          </xdr:cNvPr>
          <xdr:cNvGrpSpPr/>
        </xdr:nvGrpSpPr>
        <xdr:grpSpPr>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xdr:nvGrpSpPr>
      <xdr:grpSpPr>
        <a:xfrm>
          <a:off x="9829800" y="7553325"/>
          <a:ext cx="3565525" cy="19653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xdr:nvGrpSpPr>
        <xdr:grpSpPr>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0965" name="Group 6">
            <a:extLst>
              <a:ext uri="{FF2B5EF4-FFF2-40B4-BE49-F238E27FC236}">
                <a16:creationId xmlns:a16="http://schemas.microsoft.com/office/drawing/2014/main" id="{00000000-0008-0000-0800-0000658A0100}"/>
              </a:ext>
            </a:extLst>
          </xdr:cNvPr>
          <xdr:cNvGrpSpPr/>
        </xdr:nvGrpSpPr>
        <xdr:grpSpPr>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xdr:nvGrpSpPr>
      <xdr:grpSpPr>
        <a:xfrm>
          <a:off x="5438775" y="10941050"/>
          <a:ext cx="3565525" cy="20161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xdr:nvGrpSpPr>
        <xdr:grpSpPr>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a:xfrm>
              <a:off x="812" y="270"/>
              <a:ext cx="19" cy="42"/>
            </a:xfrm>
            <a:prstGeom prst="upArrow">
              <a:avLst>
                <a:gd name="adj1" fmla="val 50000"/>
                <a:gd name="adj2" fmla="val 55263"/>
              </a:avLst>
            </a:prstGeom>
            <a:solidFill>
              <a:srgbClr val="FFFFFF"/>
            </a:solidFill>
            <a:ln w="9525">
              <a:solidFill>
                <a:srgbClr val="000000"/>
              </a:solidFill>
              <a:miter lim="800000"/>
            </a:ln>
          </xdr:spPr>
        </xdr:sp>
      </xdr:grpSp>
      <xdr:grpSp>
        <xdr:nvGrpSpPr>
          <xdr:cNvPr id="100951" name="Group 6">
            <a:extLst>
              <a:ext uri="{FF2B5EF4-FFF2-40B4-BE49-F238E27FC236}">
                <a16:creationId xmlns:a16="http://schemas.microsoft.com/office/drawing/2014/main" id="{00000000-0008-0000-0800-0000578A0100}"/>
              </a:ext>
            </a:extLst>
          </xdr:cNvPr>
          <xdr:cNvGrpSpPr/>
        </xdr:nvGrpSpPr>
        <xdr:grpSpPr>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a:xfrm>
              <a:off x="747" y="258"/>
              <a:ext cx="19" cy="42"/>
            </a:xfrm>
            <a:prstGeom prst="upArrow">
              <a:avLst>
                <a:gd name="adj1" fmla="val 50000"/>
                <a:gd name="adj2" fmla="val 55263"/>
              </a:avLst>
            </a:prstGeom>
            <a:solidFill>
              <a:srgbClr val="FFFFFF"/>
            </a:solidFill>
            <a:ln w="9525">
              <a:solidFill>
                <a:srgbClr val="000000"/>
              </a:solidFill>
              <a:miter lim="800000"/>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a:xfrm rot="5400000">
            <a:off x="845567" y="1791249"/>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238125</xdr:colOff>
      <xdr:row>99</xdr:row>
      <xdr:rowOff>9525</xdr:rowOff>
    </xdr:from>
    <xdr:to>
      <xdr:col>15</xdr:col>
      <xdr:colOff>123825</xdr:colOff>
      <xdr:row>132</xdr:row>
      <xdr:rowOff>0</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426720</xdr:colOff>
      <xdr:row>34</xdr:row>
      <xdr:rowOff>60960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2" sqref="B2"/>
    </sheetView>
  </sheetViews>
  <sheetFormatPr defaultColWidth="9" defaultRowHeight="14.4" x14ac:dyDescent="0.25"/>
  <cols>
    <col min="1" max="1" width="14.109375" customWidth="1"/>
    <col min="5" max="5" width="10"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f>'Input sheet'!J28</f>
        <v>1</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162" customFormat="1" x14ac:dyDescent="0.25">
      <c r="A4" s="162" t="s">
        <v>36</v>
      </c>
      <c r="B4" s="162">
        <v>4431</v>
      </c>
      <c r="C4" s="162">
        <v>0</v>
      </c>
      <c r="D4" s="162">
        <f>'Input sheet'!I21</f>
        <v>75</v>
      </c>
      <c r="E4" s="162">
        <f>'Input sheet'!J21</f>
        <v>650</v>
      </c>
      <c r="F4" s="162">
        <f>'Input sheet'!K21</f>
        <v>60</v>
      </c>
      <c r="G4" s="162">
        <v>0</v>
      </c>
      <c r="H4" s="162">
        <v>0</v>
      </c>
      <c r="I4" s="162">
        <f>'Input sheet'!K7</f>
        <v>100</v>
      </c>
      <c r="J4" s="162">
        <f>'Input sheet'!J7</f>
        <v>850</v>
      </c>
      <c r="K4" s="162">
        <f>'Input sheet'!I7</f>
        <v>100</v>
      </c>
      <c r="L4" s="162">
        <v>0</v>
      </c>
      <c r="M4" s="162">
        <v>0</v>
      </c>
      <c r="N4" s="162">
        <f>'Input sheet'!G12</f>
        <v>200</v>
      </c>
      <c r="O4" s="162">
        <f>'Input sheet'!G14</f>
        <v>500</v>
      </c>
      <c r="P4" s="162">
        <f>'Input sheet'!G16</f>
        <v>100</v>
      </c>
      <c r="Q4" s="162">
        <v>0</v>
      </c>
      <c r="R4" s="162">
        <v>0</v>
      </c>
      <c r="S4" s="162">
        <f>'Input sheet'!M16</f>
        <v>200</v>
      </c>
      <c r="T4" s="162">
        <f>'Input sheet'!M14</f>
        <v>500</v>
      </c>
      <c r="U4" s="162">
        <f>'Input sheet'!M12</f>
        <v>120</v>
      </c>
      <c r="V4" s="162">
        <v>0</v>
      </c>
      <c r="W4" s="162">
        <v>0</v>
      </c>
      <c r="X4" s="162">
        <v>0</v>
      </c>
      <c r="Y4" s="162">
        <v>0</v>
      </c>
      <c r="Z4" s="162">
        <v>0</v>
      </c>
      <c r="AA4" s="162">
        <v>0</v>
      </c>
      <c r="AB4" s="162">
        <v>0</v>
      </c>
      <c r="AC4" s="162">
        <v>0</v>
      </c>
      <c r="AD4" s="162">
        <v>0</v>
      </c>
      <c r="AE4" s="162">
        <v>0</v>
      </c>
      <c r="AF4" s="162">
        <v>0</v>
      </c>
      <c r="AG4" s="162">
        <v>0</v>
      </c>
      <c r="AH4" s="162">
        <v>0</v>
      </c>
    </row>
    <row r="5" spans="1:34" x14ac:dyDescent="0.25">
      <c r="A5" t="s">
        <v>37</v>
      </c>
      <c r="B5">
        <v>4431</v>
      </c>
      <c r="C5">
        <v>0</v>
      </c>
      <c r="D5">
        <f>'Input sheet'!I22</f>
        <v>1</v>
      </c>
      <c r="E5">
        <f>'Input sheet'!J22</f>
        <v>2</v>
      </c>
      <c r="F5">
        <f>'Input sheet'!K22</f>
        <v>1</v>
      </c>
      <c r="G5">
        <v>0</v>
      </c>
      <c r="H5">
        <v>0</v>
      </c>
      <c r="I5">
        <f>'Input sheet'!K6</f>
        <v>1</v>
      </c>
      <c r="J5">
        <f>'Input sheet'!J6</f>
        <v>2</v>
      </c>
      <c r="K5">
        <f>'Input sheet'!I6</f>
        <v>1</v>
      </c>
      <c r="L5">
        <v>0</v>
      </c>
      <c r="M5">
        <v>0</v>
      </c>
      <c r="N5">
        <f>'Input sheet'!F12</f>
        <v>1</v>
      </c>
      <c r="O5">
        <f>'Input sheet'!F14</f>
        <v>3</v>
      </c>
      <c r="P5">
        <f>'Input sheet'!F16</f>
        <v>1</v>
      </c>
      <c r="Q5">
        <v>0</v>
      </c>
      <c r="R5">
        <v>0</v>
      </c>
      <c r="S5">
        <f>'Input sheet'!N16</f>
        <v>1</v>
      </c>
      <c r="T5">
        <f>'Input sheet'!N14</f>
        <v>3</v>
      </c>
      <c r="U5">
        <f>'Input sheet'!N12</f>
        <v>1</v>
      </c>
      <c r="V5">
        <v>0</v>
      </c>
      <c r="W5">
        <v>0</v>
      </c>
      <c r="X5">
        <v>0</v>
      </c>
      <c r="Y5">
        <v>0</v>
      </c>
      <c r="Z5">
        <v>0</v>
      </c>
      <c r="AA5">
        <v>0</v>
      </c>
      <c r="AB5">
        <v>0</v>
      </c>
      <c r="AC5">
        <v>0</v>
      </c>
      <c r="AD5">
        <v>0</v>
      </c>
      <c r="AE5">
        <v>0</v>
      </c>
      <c r="AF5">
        <v>0</v>
      </c>
      <c r="AG5">
        <v>0</v>
      </c>
      <c r="AH5">
        <v>0</v>
      </c>
    </row>
    <row r="6" spans="1:34" x14ac:dyDescent="0.25">
      <c r="A6" t="s">
        <v>38</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39</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40</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41</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42</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43</v>
      </c>
      <c r="B11">
        <v>4431</v>
      </c>
      <c r="C11">
        <v>0</v>
      </c>
      <c r="D11">
        <v>0</v>
      </c>
      <c r="E11">
        <f>'Input sheet'!J24</f>
        <v>30</v>
      </c>
      <c r="F11">
        <v>0</v>
      </c>
      <c r="G11">
        <v>0</v>
      </c>
      <c r="H11">
        <v>0</v>
      </c>
      <c r="I11">
        <v>0</v>
      </c>
      <c r="J11">
        <f>'Input sheet'!J4</f>
        <v>30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25">
      <c r="A12" t="s">
        <v>44</v>
      </c>
      <c r="B12">
        <v>1</v>
      </c>
      <c r="D12">
        <v>50</v>
      </c>
      <c r="E12">
        <v>50</v>
      </c>
      <c r="F12">
        <v>50</v>
      </c>
      <c r="I12">
        <v>50</v>
      </c>
      <c r="J12">
        <v>50</v>
      </c>
      <c r="K12">
        <v>50</v>
      </c>
      <c r="N12">
        <v>50</v>
      </c>
      <c r="O12">
        <v>50</v>
      </c>
      <c r="P12">
        <v>50</v>
      </c>
      <c r="S12">
        <v>50</v>
      </c>
      <c r="T12">
        <v>50</v>
      </c>
      <c r="U12">
        <v>50</v>
      </c>
    </row>
    <row r="13" spans="1:34" x14ac:dyDescent="0.25">
      <c r="A13" t="s">
        <v>45</v>
      </c>
      <c r="B13">
        <v>1</v>
      </c>
      <c r="D13">
        <v>0</v>
      </c>
      <c r="E13">
        <v>0</v>
      </c>
      <c r="F13">
        <v>0</v>
      </c>
      <c r="I13">
        <v>0</v>
      </c>
      <c r="J13">
        <v>0</v>
      </c>
      <c r="K13">
        <v>0</v>
      </c>
      <c r="N13">
        <v>0</v>
      </c>
      <c r="O13">
        <v>0</v>
      </c>
      <c r="P13">
        <v>0</v>
      </c>
      <c r="S13">
        <v>0</v>
      </c>
      <c r="T13">
        <v>0</v>
      </c>
      <c r="U13">
        <v>0</v>
      </c>
    </row>
    <row r="14" spans="1:34" s="9" customFormat="1" x14ac:dyDescent="0.25">
      <c r="A14" s="9" t="s">
        <v>46</v>
      </c>
      <c r="B14" s="9">
        <v>1</v>
      </c>
      <c r="D14" s="9">
        <f>'Phase designation'!G27</f>
        <v>0</v>
      </c>
      <c r="E14" s="9">
        <f>'Phase designation'!H27</f>
        <v>2</v>
      </c>
      <c r="F14" s="9">
        <v>0</v>
      </c>
      <c r="I14" s="9">
        <f>'Phase designation'!I27</f>
        <v>0</v>
      </c>
      <c r="J14" s="9">
        <f>'Phase designation'!J27</f>
        <v>6</v>
      </c>
      <c r="K14" s="9">
        <v>0</v>
      </c>
      <c r="N14" s="9">
        <f>'Phase designation'!C27</f>
        <v>0</v>
      </c>
      <c r="O14" s="9">
        <f>'Phase designation'!D27</f>
        <v>4</v>
      </c>
      <c r="P14" s="9">
        <v>0</v>
      </c>
      <c r="S14" s="9">
        <f>'Phase designation'!E27</f>
        <v>0</v>
      </c>
      <c r="T14" s="9">
        <f>'Phase designation'!F27</f>
        <v>8</v>
      </c>
      <c r="U14" s="9">
        <v>0</v>
      </c>
    </row>
    <row r="15" spans="1:34" s="9" customFormat="1" x14ac:dyDescent="0.25">
      <c r="A15" s="9" t="s">
        <v>47</v>
      </c>
      <c r="B15" s="9">
        <v>1</v>
      </c>
      <c r="D15" s="9">
        <f>'Phase designation'!G28</f>
        <v>2</v>
      </c>
      <c r="E15" s="9">
        <f>'Phase designation'!H28</f>
        <v>0</v>
      </c>
      <c r="F15" s="9">
        <f>E14</f>
        <v>2</v>
      </c>
      <c r="I15" s="9">
        <f>'Phase designation'!I28</f>
        <v>6</v>
      </c>
      <c r="J15" s="9">
        <f>'Phase designation'!J28</f>
        <v>0</v>
      </c>
      <c r="K15" s="9">
        <f>J14</f>
        <v>6</v>
      </c>
      <c r="N15" s="9">
        <f>'Phase designation'!C28</f>
        <v>4</v>
      </c>
      <c r="O15" s="9">
        <f>'Phase designation'!D28</f>
        <v>0</v>
      </c>
      <c r="P15" s="9">
        <f>O14</f>
        <v>4</v>
      </c>
      <c r="S15" s="9">
        <f>'Phase designation'!E28</f>
        <v>8</v>
      </c>
      <c r="T15" s="9">
        <f>'Phase designation'!F28</f>
        <v>0</v>
      </c>
      <c r="U15" s="9">
        <f>T14</f>
        <v>8</v>
      </c>
    </row>
    <row r="16" spans="1:34" s="9" customFormat="1" x14ac:dyDescent="0.25">
      <c r="A16" s="9" t="s">
        <v>48</v>
      </c>
      <c r="B16" s="9">
        <v>1</v>
      </c>
      <c r="D16" s="9">
        <f>IF(D14&gt;0,D14,D15)</f>
        <v>2</v>
      </c>
      <c r="E16" s="9">
        <f>E14</f>
        <v>2</v>
      </c>
      <c r="F16" s="9">
        <f>E16</f>
        <v>2</v>
      </c>
      <c r="I16" s="9">
        <f>IF(I14&gt;0,I14,I15)</f>
        <v>6</v>
      </c>
      <c r="J16" s="9">
        <f>J14</f>
        <v>6</v>
      </c>
      <c r="K16" s="9">
        <f>J16</f>
        <v>6</v>
      </c>
      <c r="N16" s="9">
        <f>IF(N14&gt;0,N14,N15)</f>
        <v>4</v>
      </c>
      <c r="O16" s="9">
        <f>O14</f>
        <v>4</v>
      </c>
      <c r="P16" s="9">
        <f>O16</f>
        <v>4</v>
      </c>
      <c r="S16" s="9">
        <f>IF(S14&gt;0,S14,S15)</f>
        <v>8</v>
      </c>
      <c r="T16" s="9">
        <f>T14</f>
        <v>8</v>
      </c>
      <c r="U16" s="9">
        <f>T16</f>
        <v>8</v>
      </c>
    </row>
    <row r="17" spans="1:21" s="134" customFormat="1" x14ac:dyDescent="0.25">
      <c r="A17" s="134" t="s">
        <v>49</v>
      </c>
      <c r="B17" s="134">
        <v>1</v>
      </c>
      <c r="D17" s="134">
        <f>'Phase calculation'!J38</f>
        <v>40</v>
      </c>
      <c r="E17" s="134">
        <f>'Phase calculation'!K38</f>
        <v>40</v>
      </c>
      <c r="F17" s="134">
        <f>'Phase calculation'!L38</f>
        <v>40</v>
      </c>
      <c r="I17" s="134">
        <f>'Phase calculation'!M38</f>
        <v>40</v>
      </c>
      <c r="J17" s="134">
        <f>'Phase calculation'!N38</f>
        <v>40</v>
      </c>
      <c r="K17" s="134">
        <f>'Phase calculation'!O38</f>
        <v>40</v>
      </c>
      <c r="N17" s="134">
        <f>'Phase calculation'!D38</f>
        <v>32</v>
      </c>
      <c r="O17" s="134">
        <f>'Phase calculation'!E38</f>
        <v>32</v>
      </c>
      <c r="P17" s="134">
        <f>'Phase calculation'!F38</f>
        <v>32</v>
      </c>
      <c r="S17" s="134">
        <f>'Phase calculation'!G38</f>
        <v>32</v>
      </c>
      <c r="T17" s="134">
        <f>'Phase calculation'!H38</f>
        <v>32</v>
      </c>
      <c r="U17" s="134">
        <f>'Phase calculation'!I38</f>
        <v>32</v>
      </c>
    </row>
    <row r="18" spans="1:21" s="9" customFormat="1" x14ac:dyDescent="0.25">
      <c r="A18" s="9" t="s">
        <v>50</v>
      </c>
      <c r="B18" s="9">
        <v>1</v>
      </c>
      <c r="D18" s="9">
        <f>'Phase calculation'!J41</f>
        <v>104</v>
      </c>
      <c r="E18" s="9">
        <f>'Phase calculation'!K41</f>
        <v>1530</v>
      </c>
      <c r="F18" s="9">
        <f>'Phase calculation'!L41</f>
        <v>765</v>
      </c>
      <c r="I18" s="9">
        <f>'Phase calculation'!M41</f>
        <v>107</v>
      </c>
      <c r="J18" s="9">
        <f>'Phase calculation'!N41</f>
        <v>1530</v>
      </c>
      <c r="K18" s="9">
        <f>'Phase calculation'!O41</f>
        <v>765</v>
      </c>
      <c r="N18" s="9">
        <f>'Phase calculation'!D41</f>
        <v>112</v>
      </c>
      <c r="O18" s="9">
        <f>'Phase calculation'!E41</f>
        <v>1836</v>
      </c>
      <c r="P18" s="9">
        <f>'Phase calculation'!F41</f>
        <v>612</v>
      </c>
      <c r="S18" s="9">
        <f>'Phase calculation'!G41</f>
        <v>112</v>
      </c>
      <c r="T18" s="9">
        <f>'Phase calculation'!H41</f>
        <v>1836</v>
      </c>
      <c r="U18" s="9">
        <f>'Phase calculation'!I41</f>
        <v>612</v>
      </c>
    </row>
    <row r="19" spans="1:21" s="416" customFormat="1" x14ac:dyDescent="0.25">
      <c r="A19" s="416" t="s">
        <v>51</v>
      </c>
      <c r="B19" s="416">
        <v>1</v>
      </c>
      <c r="D19" s="416">
        <f>'Phase calculation'!J40</f>
        <v>0.72</v>
      </c>
      <c r="E19" s="416">
        <f>'Phase calculation'!K40</f>
        <v>0.42</v>
      </c>
      <c r="F19" s="416">
        <f>'Phase calculation'!L40</f>
        <v>7.0588235294117646E-2</v>
      </c>
      <c r="I19" s="416">
        <f>'Phase calculation'!M40</f>
        <v>0.93</v>
      </c>
      <c r="J19" s="416">
        <f>'Phase calculation'!N40</f>
        <v>0.56000000000000005</v>
      </c>
      <c r="K19" s="416">
        <f>'Phase calculation'!O40</f>
        <v>0.11764705882352941</v>
      </c>
      <c r="N19" s="416">
        <f>'Phase calculation'!D40</f>
        <v>1.79</v>
      </c>
      <c r="O19" s="416">
        <f>'Phase calculation'!E40</f>
        <v>0.27</v>
      </c>
      <c r="P19" s="416">
        <f>'Phase calculation'!F40</f>
        <v>0.14705882352941177</v>
      </c>
      <c r="S19" s="416">
        <f>'Phase calculation'!G40</f>
        <v>1.79</v>
      </c>
      <c r="T19" s="416">
        <f>'Phase calculation'!H40</f>
        <v>0.27</v>
      </c>
      <c r="U19" s="416">
        <f>'Phase calculation'!I40</f>
        <v>0.17647058823529413</v>
      </c>
    </row>
    <row r="20" spans="1:21" s="417" customFormat="1" x14ac:dyDescent="0.25">
      <c r="A20" s="417" t="s">
        <v>52</v>
      </c>
      <c r="B20" s="417">
        <v>1</v>
      </c>
      <c r="D20" s="417">
        <f>'Phase calculation'!J44</f>
        <v>50.49</v>
      </c>
      <c r="E20" s="417">
        <f>'Phase calculation'!K44</f>
        <v>13.51</v>
      </c>
      <c r="F20" s="417">
        <f>'Phase calculation'!L44</f>
        <v>10.549999999999999</v>
      </c>
      <c r="I20" s="417">
        <f>'Phase calculation'!M44</f>
        <v>88.31</v>
      </c>
      <c r="J20" s="417">
        <f>'Phase calculation'!N44</f>
        <v>15.38</v>
      </c>
      <c r="K20" s="417">
        <f>'Phase calculation'!O44</f>
        <v>10.940000000000001</v>
      </c>
      <c r="N20" s="417">
        <f>'Phase calculation'!D44</f>
        <v>412.8</v>
      </c>
      <c r="O20" s="417">
        <f>'Phase calculation'!E44</f>
        <v>16.5</v>
      </c>
      <c r="P20" s="417">
        <f>'Phase calculation'!F44</f>
        <v>15.81</v>
      </c>
      <c r="S20" s="417">
        <f>'Phase calculation'!G44</f>
        <v>412.8</v>
      </c>
      <c r="T20" s="417">
        <f>'Phase calculation'!H44</f>
        <v>16.5</v>
      </c>
      <c r="U20" s="417">
        <f>'Phase calculation'!I44</f>
        <v>16.12</v>
      </c>
    </row>
    <row r="21" spans="1:21" s="9" customFormat="1" x14ac:dyDescent="0.25">
      <c r="A21" s="9" t="s">
        <v>53</v>
      </c>
      <c r="B21" s="9">
        <v>1</v>
      </c>
      <c r="D21" s="5" t="str">
        <f>'Phase calculation'!J45</f>
        <v>D</v>
      </c>
      <c r="E21" s="5" t="str">
        <f>'Phase calculation'!K45</f>
        <v>B</v>
      </c>
      <c r="F21" s="5" t="str">
        <f>'Phase calculation'!L45</f>
        <v>B</v>
      </c>
      <c r="G21" s="5"/>
      <c r="H21" s="5"/>
      <c r="I21" s="5" t="str">
        <f>'Phase calculation'!M45</f>
        <v>F</v>
      </c>
      <c r="J21" s="5" t="str">
        <f>'Phase calculation'!N45</f>
        <v>B</v>
      </c>
      <c r="K21" s="5" t="str">
        <f>'Phase calculation'!O45</f>
        <v>B</v>
      </c>
      <c r="L21" s="5"/>
      <c r="M21" s="5"/>
      <c r="N21" s="5" t="str">
        <f>'Phase calculation'!D45</f>
        <v>F</v>
      </c>
      <c r="O21" s="5" t="str">
        <f>'Phase calculation'!E45</f>
        <v>B</v>
      </c>
      <c r="P21" s="5" t="str">
        <f>'Phase calculation'!F45</f>
        <v>B</v>
      </c>
      <c r="Q21" s="5"/>
      <c r="R21" s="5"/>
      <c r="S21" s="5" t="str">
        <f>'Phase calculation'!G45</f>
        <v>F</v>
      </c>
      <c r="T21" s="5" t="str">
        <f>'Phase calculation'!H45</f>
        <v>B</v>
      </c>
      <c r="U21" s="5" t="str">
        <f>'Phase calculation'!I45</f>
        <v>B</v>
      </c>
    </row>
    <row r="22" spans="1:21" x14ac:dyDescent="0.25">
      <c r="A22" t="s">
        <v>54</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55</v>
      </c>
      <c r="B23">
        <v>1</v>
      </c>
      <c r="D23">
        <v>4</v>
      </c>
      <c r="E23">
        <v>4</v>
      </c>
      <c r="F23">
        <v>4</v>
      </c>
      <c r="I23">
        <v>4</v>
      </c>
      <c r="J23">
        <v>4</v>
      </c>
      <c r="K23">
        <v>4</v>
      </c>
      <c r="N23">
        <v>4</v>
      </c>
      <c r="O23">
        <v>4</v>
      </c>
      <c r="P23">
        <v>4</v>
      </c>
      <c r="S23">
        <v>4</v>
      </c>
      <c r="T23">
        <v>4</v>
      </c>
      <c r="U23">
        <v>4</v>
      </c>
    </row>
    <row r="24" spans="1:21" s="9" customFormat="1" x14ac:dyDescent="0.25">
      <c r="A24" s="9" t="s">
        <v>56</v>
      </c>
      <c r="B24" s="9">
        <v>1</v>
      </c>
      <c r="D24" s="9">
        <f>'Phase calculation'!J11</f>
        <v>0</v>
      </c>
      <c r="E24" s="9">
        <f>'Phase calculation'!K11</f>
        <v>3060</v>
      </c>
      <c r="F24" s="9">
        <f>'Phase calculation'!L11</f>
        <v>1530</v>
      </c>
      <c r="I24" s="9">
        <f>'Phase calculation'!M11</f>
        <v>0</v>
      </c>
      <c r="J24" s="9">
        <f>'Phase calculation'!N11</f>
        <v>3060</v>
      </c>
      <c r="K24" s="9">
        <f>'Phase calculation'!O11</f>
        <v>1530</v>
      </c>
      <c r="N24" s="9">
        <f>'Phase calculation'!D11</f>
        <v>0</v>
      </c>
      <c r="O24" s="9">
        <f>'Phase calculation'!E11</f>
        <v>4590</v>
      </c>
      <c r="P24" s="9">
        <f>'Phase calculation'!F11</f>
        <v>1530</v>
      </c>
      <c r="S24" s="9">
        <f>'Phase calculation'!G11</f>
        <v>0</v>
      </c>
      <c r="T24" s="9">
        <f>'Phase calculation'!H11</f>
        <v>4590</v>
      </c>
      <c r="U24" s="9">
        <f>'Phase calculation'!I11</f>
        <v>1530</v>
      </c>
    </row>
    <row r="25" spans="1:21" s="9" customFormat="1" x14ac:dyDescent="0.25">
      <c r="A25" s="9" t="s">
        <v>57</v>
      </c>
      <c r="B25" s="9">
        <v>1</v>
      </c>
      <c r="D25" s="9">
        <f>'Phase calculation'!J14</f>
        <v>555</v>
      </c>
      <c r="E25" s="9">
        <f>'Phase calculation'!K14</f>
        <v>3060</v>
      </c>
      <c r="F25" s="9">
        <f>'Phase calculation'!L14</f>
        <v>1530</v>
      </c>
      <c r="I25" s="9">
        <f>'Phase calculation'!M14</f>
        <v>695</v>
      </c>
      <c r="J25" s="9">
        <f>'Phase calculation'!N14</f>
        <v>3060</v>
      </c>
      <c r="K25" s="9">
        <f>'Phase calculation'!O14</f>
        <v>1530</v>
      </c>
      <c r="N25" s="9">
        <f>'Phase calculation'!D14</f>
        <v>756</v>
      </c>
      <c r="O25" s="9">
        <f>'Phase calculation'!E14</f>
        <v>4590</v>
      </c>
      <c r="P25" s="9">
        <f>'Phase calculation'!F14</f>
        <v>1530</v>
      </c>
      <c r="S25" s="9">
        <f>'Phase calculation'!G14</f>
        <v>770</v>
      </c>
      <c r="T25" s="9">
        <f>'Phase calculation'!H14</f>
        <v>4590</v>
      </c>
      <c r="U25" s="9">
        <f>'Phase calculation'!I14</f>
        <v>1530</v>
      </c>
    </row>
    <row r="26" spans="1:21" x14ac:dyDescent="0.25">
      <c r="A26" t="s">
        <v>58</v>
      </c>
      <c r="B26">
        <v>1</v>
      </c>
      <c r="D26">
        <v>0</v>
      </c>
      <c r="E26">
        <v>0</v>
      </c>
      <c r="F26">
        <v>0</v>
      </c>
      <c r="I26">
        <v>0</v>
      </c>
      <c r="J26">
        <v>0</v>
      </c>
      <c r="K26">
        <v>0</v>
      </c>
      <c r="N26">
        <v>0</v>
      </c>
      <c r="O26">
        <v>0</v>
      </c>
      <c r="P26">
        <v>0</v>
      </c>
      <c r="S26">
        <v>0</v>
      </c>
      <c r="T26">
        <v>0</v>
      </c>
      <c r="U26">
        <v>0</v>
      </c>
    </row>
    <row r="27" spans="1:21" x14ac:dyDescent="0.25">
      <c r="A27" t="s">
        <v>59</v>
      </c>
      <c r="B27">
        <v>1</v>
      </c>
      <c r="D27">
        <v>1</v>
      </c>
      <c r="E27">
        <v>1</v>
      </c>
      <c r="F27">
        <v>1</v>
      </c>
      <c r="I27">
        <v>1</v>
      </c>
      <c r="J27">
        <v>1</v>
      </c>
      <c r="K27">
        <v>1</v>
      </c>
      <c r="N27">
        <v>1</v>
      </c>
      <c r="O27">
        <v>1</v>
      </c>
      <c r="P27">
        <v>1</v>
      </c>
      <c r="S27">
        <v>1</v>
      </c>
      <c r="T27">
        <v>1</v>
      </c>
      <c r="U27">
        <v>1</v>
      </c>
    </row>
    <row r="28" spans="1:21" x14ac:dyDescent="0.25">
      <c r="A28" t="s">
        <v>60</v>
      </c>
      <c r="B28">
        <v>1</v>
      </c>
      <c r="D28">
        <v>0</v>
      </c>
      <c r="E28">
        <v>0</v>
      </c>
      <c r="F28">
        <v>0</v>
      </c>
      <c r="I28">
        <v>0</v>
      </c>
      <c r="J28">
        <v>0</v>
      </c>
      <c r="K28">
        <v>0</v>
      </c>
      <c r="N28">
        <v>0</v>
      </c>
      <c r="O28">
        <v>0</v>
      </c>
      <c r="P28">
        <v>0</v>
      </c>
      <c r="S28">
        <v>0</v>
      </c>
      <c r="T28">
        <v>0</v>
      </c>
      <c r="U28">
        <v>0</v>
      </c>
    </row>
    <row r="29" spans="1:21" s="15" customFormat="1" x14ac:dyDescent="0.25">
      <c r="A29" s="15" t="s">
        <v>61</v>
      </c>
      <c r="B29" s="15">
        <v>1</v>
      </c>
      <c r="E29" s="15">
        <f>IF('Input sheet'!M22="Yes",10,0)</f>
        <v>10</v>
      </c>
      <c r="J29" s="15">
        <f>IF('Input sheet'!L5="Yes",10,0)</f>
        <v>10</v>
      </c>
      <c r="O29" s="15">
        <f>IF('Input sheet'!D16="Yes",10,0)</f>
        <v>10</v>
      </c>
      <c r="T29" s="15">
        <f>IF('Input sheet'!P16="Yes",10,0)</f>
        <v>10</v>
      </c>
    </row>
    <row r="30" spans="1:21" x14ac:dyDescent="0.25">
      <c r="A30" t="s">
        <v>62</v>
      </c>
      <c r="B30">
        <v>1</v>
      </c>
      <c r="D30">
        <v>0</v>
      </c>
      <c r="E30">
        <v>0</v>
      </c>
      <c r="F30">
        <v>0</v>
      </c>
      <c r="I30">
        <v>0</v>
      </c>
      <c r="J30">
        <v>0</v>
      </c>
      <c r="K30">
        <v>0</v>
      </c>
      <c r="N30">
        <v>0</v>
      </c>
      <c r="O30">
        <v>0</v>
      </c>
      <c r="P30">
        <v>0</v>
      </c>
      <c r="S30">
        <v>0</v>
      </c>
      <c r="T30">
        <v>0</v>
      </c>
      <c r="U30">
        <v>0</v>
      </c>
    </row>
    <row r="31" spans="1:21" x14ac:dyDescent="0.25">
      <c r="A31" t="s">
        <v>63</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25">
      <c r="A32" t="s">
        <v>64</v>
      </c>
      <c r="B32">
        <v>1</v>
      </c>
      <c r="D32">
        <v>100</v>
      </c>
      <c r="E32">
        <v>100</v>
      </c>
      <c r="F32">
        <v>100</v>
      </c>
      <c r="I32">
        <v>100</v>
      </c>
      <c r="J32">
        <v>100</v>
      </c>
      <c r="K32">
        <v>100</v>
      </c>
      <c r="N32">
        <v>100</v>
      </c>
      <c r="O32">
        <v>100</v>
      </c>
      <c r="P32">
        <v>100</v>
      </c>
      <c r="S32">
        <v>100</v>
      </c>
      <c r="T32">
        <v>100</v>
      </c>
      <c r="U32">
        <v>100</v>
      </c>
    </row>
    <row r="33" spans="1:31" x14ac:dyDescent="0.25">
      <c r="A33" t="s">
        <v>65</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25">
      <c r="A34" t="s">
        <v>66</v>
      </c>
      <c r="B34">
        <v>1</v>
      </c>
      <c r="D34">
        <v>0</v>
      </c>
      <c r="E34">
        <v>0</v>
      </c>
      <c r="F34">
        <v>0</v>
      </c>
      <c r="I34">
        <v>0</v>
      </c>
      <c r="J34">
        <v>0</v>
      </c>
      <c r="K34">
        <v>0</v>
      </c>
      <c r="N34">
        <v>0</v>
      </c>
      <c r="O34">
        <v>0</v>
      </c>
      <c r="P34">
        <v>0</v>
      </c>
      <c r="S34">
        <v>0</v>
      </c>
      <c r="T34">
        <v>0</v>
      </c>
      <c r="U34">
        <v>0</v>
      </c>
    </row>
    <row r="35" spans="1:31" x14ac:dyDescent="0.25">
      <c r="A35" s="133" t="s">
        <v>67</v>
      </c>
      <c r="B35" s="133">
        <v>1</v>
      </c>
      <c r="C35" s="133"/>
      <c r="D35" s="133">
        <f>IF(C70=0,0,INDEX($C$59:$J$59,C70))</f>
        <v>0</v>
      </c>
      <c r="E35" s="133">
        <f>IF(D70=0,0,INDEX($C$59:$J$59,D70))</f>
        <v>0</v>
      </c>
      <c r="F35" s="133">
        <f>E35</f>
        <v>0</v>
      </c>
      <c r="G35" s="133"/>
      <c r="H35" s="133"/>
      <c r="I35" s="133">
        <f>IF(E70=0,0,INDEX($C$59:$J$59,E70))</f>
        <v>44</v>
      </c>
      <c r="J35" s="133">
        <f>IF(F70=0,0,INDEX($C$59:$J$59,F70))</f>
        <v>44</v>
      </c>
      <c r="K35" s="133">
        <f>J35</f>
        <v>44</v>
      </c>
      <c r="L35" s="133"/>
      <c r="M35" s="133"/>
      <c r="N35" s="133">
        <f>IF(G70=0,0,INDEX($C$59:$J$59,G70))</f>
        <v>0</v>
      </c>
      <c r="O35" s="133">
        <f>IF(H70=0,0,INDEX($C$59:$J$59,H70))</f>
        <v>0</v>
      </c>
      <c r="P35" s="133">
        <f>O35</f>
        <v>0</v>
      </c>
      <c r="Q35" s="133"/>
      <c r="R35" s="133"/>
      <c r="S35" s="133">
        <f>IF(I70=0,0,INDEX($C$59:$J$59,I70))</f>
        <v>44</v>
      </c>
      <c r="T35" s="133">
        <f>IF(J70=0,0,INDEX($C$59:$J$59,J70))</f>
        <v>44</v>
      </c>
      <c r="U35" s="133">
        <f>T35</f>
        <v>44</v>
      </c>
      <c r="V35" s="133"/>
    </row>
    <row r="36" spans="1:31" x14ac:dyDescent="0.25">
      <c r="A36" s="162" t="s">
        <v>68</v>
      </c>
      <c r="B36" s="162">
        <v>1</v>
      </c>
      <c r="C36" s="162"/>
      <c r="D36" s="162">
        <f>IF(C70=0,0,INDEX($C$60:$J$60,C70))</f>
        <v>44</v>
      </c>
      <c r="E36" s="162">
        <f>IF(D70=0,0,INDEX($C$60:$J$60,D70))</f>
        <v>44</v>
      </c>
      <c r="F36" s="162">
        <f>E36</f>
        <v>44</v>
      </c>
      <c r="G36" s="162"/>
      <c r="H36" s="162"/>
      <c r="I36" s="162">
        <f>IF(E70=0,0,INDEX($C$60:$J$60,E70))</f>
        <v>80</v>
      </c>
      <c r="J36" s="162">
        <f>IF(F70=0,0,INDEX($C$60:$J$60,F70))</f>
        <v>80</v>
      </c>
      <c r="K36" s="162">
        <f>J36</f>
        <v>80</v>
      </c>
      <c r="L36" s="162"/>
      <c r="M36" s="162"/>
      <c r="N36" s="162">
        <f>IF(G70=0,0,INDEX($C$60:$J$60,G70))</f>
        <v>44</v>
      </c>
      <c r="O36" s="162">
        <f>IF(H70=0,0,INDEX($C$60:$J$60,H70))</f>
        <v>44</v>
      </c>
      <c r="P36" s="162">
        <f>O36</f>
        <v>44</v>
      </c>
      <c r="Q36" s="162"/>
      <c r="R36" s="162"/>
      <c r="S36" s="162">
        <f>IF(I70=0,0,INDEX($C$60:$J$60,I70))</f>
        <v>80</v>
      </c>
      <c r="T36" s="162">
        <f>IF(J70=0,0,INDEX($C$60:$J$60,J70))</f>
        <v>80</v>
      </c>
      <c r="U36" s="162">
        <f>T36</f>
        <v>80</v>
      </c>
      <c r="V36" s="162"/>
    </row>
    <row r="37" spans="1:31" x14ac:dyDescent="0.25">
      <c r="A37" t="s">
        <v>69</v>
      </c>
      <c r="B37">
        <v>1</v>
      </c>
      <c r="D37">
        <v>0</v>
      </c>
      <c r="E37">
        <v>0</v>
      </c>
      <c r="F37">
        <v>0</v>
      </c>
      <c r="I37">
        <v>0</v>
      </c>
      <c r="J37">
        <v>0</v>
      </c>
      <c r="K37">
        <v>0</v>
      </c>
      <c r="N37">
        <v>0</v>
      </c>
      <c r="O37">
        <v>0</v>
      </c>
      <c r="P37">
        <v>0</v>
      </c>
      <c r="S37">
        <v>0</v>
      </c>
      <c r="T37">
        <v>0</v>
      </c>
      <c r="U37">
        <v>0</v>
      </c>
    </row>
    <row r="38" spans="1:31" x14ac:dyDescent="0.25">
      <c r="A38" t="s">
        <v>70</v>
      </c>
      <c r="E38" s="161" t="str">
        <f>'Input sheet'!I26</f>
        <v>Minor</v>
      </c>
      <c r="J38" s="161" t="str">
        <f>'Input sheet'!I2</f>
        <v>Minor</v>
      </c>
      <c r="O38" s="161" t="str">
        <f>'Input sheet'!A13</f>
        <v>Major</v>
      </c>
      <c r="T38" s="161" t="str">
        <f>'Input sheet'!R13</f>
        <v>Major</v>
      </c>
    </row>
    <row r="39" spans="1:31" s="134" customFormat="1" x14ac:dyDescent="0.25">
      <c r="A39" s="134" t="s">
        <v>71</v>
      </c>
      <c r="D39" s="134">
        <f>'Phase calculation'!J54</f>
        <v>555</v>
      </c>
      <c r="E39" s="134">
        <f>'Phase calculation'!K54</f>
        <v>3060</v>
      </c>
      <c r="F39" s="134">
        <f>'Phase calculation'!L54</f>
        <v>1530</v>
      </c>
      <c r="I39" s="134">
        <f>'Phase calculation'!M54</f>
        <v>695</v>
      </c>
      <c r="J39" s="134">
        <f>'Phase calculation'!N54</f>
        <v>3060</v>
      </c>
      <c r="K39" s="134">
        <f>'Phase calculation'!O54</f>
        <v>1530</v>
      </c>
      <c r="N39" s="134">
        <f>'Phase calculation'!D54</f>
        <v>756</v>
      </c>
      <c r="O39" s="134">
        <f>'Phase calculation'!E54</f>
        <v>4590</v>
      </c>
      <c r="P39" s="134">
        <f>'Phase calculation'!F54</f>
        <v>1530</v>
      </c>
      <c r="S39" s="134">
        <f>'Phase calculation'!G54</f>
        <v>770</v>
      </c>
      <c r="T39" s="134">
        <f>'Phase calculation'!H54</f>
        <v>4590</v>
      </c>
      <c r="U39" s="134">
        <f>'Phase calculation'!I54</f>
        <v>1530</v>
      </c>
    </row>
    <row r="40" spans="1:31" x14ac:dyDescent="0.25">
      <c r="A40" t="s">
        <v>1</v>
      </c>
      <c r="B40" t="s">
        <v>72</v>
      </c>
      <c r="C40" t="s">
        <v>73</v>
      </c>
      <c r="D40" t="s">
        <v>74</v>
      </c>
      <c r="E40" t="s">
        <v>75</v>
      </c>
      <c r="F40" t="s">
        <v>76</v>
      </c>
      <c r="G40" t="s">
        <v>77</v>
      </c>
      <c r="H40" t="s">
        <v>78</v>
      </c>
      <c r="I40" t="s">
        <v>79</v>
      </c>
      <c r="J40" t="s">
        <v>80</v>
      </c>
      <c r="K40" t="s">
        <v>81</v>
      </c>
      <c r="L40" t="s">
        <v>82</v>
      </c>
      <c r="M40" t="s">
        <v>83</v>
      </c>
    </row>
    <row r="41" spans="1:31" x14ac:dyDescent="0.25">
      <c r="A41">
        <v>1</v>
      </c>
      <c r="B41" s="133">
        <f>'Phase calculation'!D83</f>
        <v>0</v>
      </c>
      <c r="C41" s="133">
        <f>'Phase calculation'!E83</f>
        <v>44</v>
      </c>
      <c r="D41" s="133">
        <f>'Phase calculation'!F83</f>
        <v>0</v>
      </c>
      <c r="E41" s="133">
        <f>'Phase calculation'!G83</f>
        <v>36</v>
      </c>
      <c r="F41" s="133">
        <f>'Phase calculation'!D84</f>
        <v>0</v>
      </c>
      <c r="G41" s="133">
        <f>'Phase calculation'!E84</f>
        <v>44</v>
      </c>
      <c r="H41" s="133">
        <f>'Phase calculation'!F84</f>
        <v>0</v>
      </c>
      <c r="I41" s="133">
        <f>'Phase calculation'!G84</f>
        <v>36</v>
      </c>
      <c r="J41" s="133">
        <f>IF(SUM(B41:I41)=0,0,'Phase calculation'!D25)</f>
        <v>80</v>
      </c>
      <c r="K41" s="15">
        <v>0</v>
      </c>
      <c r="L41" s="15">
        <v>1357</v>
      </c>
      <c r="M41" s="15">
        <v>0</v>
      </c>
    </row>
    <row r="42" spans="1:31" s="15" customFormat="1" x14ac:dyDescent="0.25">
      <c r="A42" s="2" t="s">
        <v>0</v>
      </c>
      <c r="B42" s="15" t="str">
        <f>Phasing!C29</f>
        <v>INTID</v>
      </c>
      <c r="C42" s="57" t="str">
        <f>Phasing!D29</f>
        <v>D1</v>
      </c>
      <c r="D42" s="57" t="str">
        <f>Phasing!E29</f>
        <v>D2</v>
      </c>
      <c r="E42" s="57" t="str">
        <f>Phasing!F29</f>
        <v>D3</v>
      </c>
      <c r="F42" s="57" t="str">
        <f>Phasing!G29</f>
        <v>D4</v>
      </c>
      <c r="G42" s="57" t="str">
        <f>Phasing!H29</f>
        <v>D5</v>
      </c>
      <c r="H42" s="57" t="str">
        <f>Phasing!I29</f>
        <v>D6</v>
      </c>
      <c r="I42" s="57" t="str">
        <f>Phasing!J29</f>
        <v>D7</v>
      </c>
      <c r="J42" s="57" t="str">
        <f>Phasing!K29</f>
        <v>D8</v>
      </c>
    </row>
    <row r="43" spans="1:31" x14ac:dyDescent="0.25">
      <c r="A43" s="2" t="s">
        <v>84</v>
      </c>
      <c r="B43" s="15">
        <f>Phasing!C30</f>
        <v>1</v>
      </c>
      <c r="C43" s="57">
        <f>Phasing!D30</f>
        <v>0</v>
      </c>
      <c r="D43" s="57">
        <f>Phasing!E30</f>
        <v>112</v>
      </c>
      <c r="E43" s="57">
        <f>Phasing!F30</f>
        <v>0</v>
      </c>
      <c r="F43" s="57">
        <f>Phasing!G30</f>
        <v>211</v>
      </c>
      <c r="G43" s="57">
        <f>Phasing!H30</f>
        <v>0</v>
      </c>
      <c r="H43" s="57">
        <f>Phasing!I30</f>
        <v>122</v>
      </c>
      <c r="I43" s="57">
        <f>Phasing!J30</f>
        <v>0</v>
      </c>
      <c r="J43" s="57">
        <f>Phasing!K30</f>
        <v>222</v>
      </c>
      <c r="O43" s="428" t="s">
        <v>85</v>
      </c>
      <c r="P43" s="428"/>
      <c r="Q43" s="428"/>
      <c r="R43" s="428"/>
      <c r="S43" s="428"/>
      <c r="T43" s="428"/>
      <c r="U43" s="428"/>
      <c r="V43" s="428"/>
    </row>
    <row r="44" spans="1:31" x14ac:dyDescent="0.25">
      <c r="A44" s="2" t="s">
        <v>86</v>
      </c>
      <c r="B44" s="15">
        <f>Phasing!C31</f>
        <v>1</v>
      </c>
      <c r="C44" s="57">
        <f>C45</f>
        <v>0</v>
      </c>
      <c r="D44" s="57">
        <f t="shared" ref="D44:J44" si="0">D45</f>
        <v>38.299999999999997</v>
      </c>
      <c r="E44" s="57">
        <f t="shared" si="0"/>
        <v>0</v>
      </c>
      <c r="F44" s="57">
        <f t="shared" si="0"/>
        <v>29.900000000000002</v>
      </c>
      <c r="G44" s="57">
        <f t="shared" si="0"/>
        <v>0</v>
      </c>
      <c r="H44" s="57">
        <f t="shared" si="0"/>
        <v>38.299999999999997</v>
      </c>
      <c r="I44" s="57">
        <f t="shared" si="0"/>
        <v>0</v>
      </c>
      <c r="J44" s="57">
        <f t="shared" si="0"/>
        <v>29.900000000000002</v>
      </c>
      <c r="O44" s="429" t="s">
        <v>87</v>
      </c>
      <c r="P44" s="429"/>
      <c r="Q44" s="429"/>
      <c r="R44" s="429"/>
      <c r="S44" s="429"/>
      <c r="T44" s="429"/>
      <c r="U44" s="429"/>
      <c r="V44" s="429"/>
      <c r="X44" s="426" t="s">
        <v>88</v>
      </c>
      <c r="Y44" s="426"/>
      <c r="Z44" s="426"/>
      <c r="AA44" s="426"/>
      <c r="AB44" s="426"/>
      <c r="AC44" s="426"/>
      <c r="AD44" s="426"/>
      <c r="AE44" s="426"/>
    </row>
    <row r="45" spans="1:31" ht="15" customHeight="1" x14ac:dyDescent="0.3">
      <c r="A45" s="2" t="s">
        <v>89</v>
      </c>
      <c r="B45" s="15">
        <f>Phasing!C32</f>
        <v>1</v>
      </c>
      <c r="C45" s="57">
        <f>Phasing!D58</f>
        <v>0</v>
      </c>
      <c r="D45" s="57">
        <f>Phasing!E58</f>
        <v>38.299999999999997</v>
      </c>
      <c r="E45" s="57">
        <f>Phasing!F58</f>
        <v>0</v>
      </c>
      <c r="F45" s="57">
        <f>Phasing!G58</f>
        <v>29.900000000000002</v>
      </c>
      <c r="G45" s="57">
        <f>Phasing!H58</f>
        <v>0</v>
      </c>
      <c r="H45" s="57">
        <f>Phasing!I58</f>
        <v>38.299999999999997</v>
      </c>
      <c r="I45" s="57">
        <f>Phasing!J58</f>
        <v>0</v>
      </c>
      <c r="J45" s="57">
        <f>Phasing!K58</f>
        <v>29.900000000000002</v>
      </c>
      <c r="O45" s="418" t="s">
        <v>90</v>
      </c>
      <c r="P45" s="418"/>
      <c r="Q45" s="418"/>
      <c r="R45" s="418"/>
      <c r="S45" s="418"/>
      <c r="T45" s="418"/>
      <c r="U45" s="418"/>
      <c r="V45" s="419"/>
      <c r="X45" s="426"/>
      <c r="Y45" s="426"/>
      <c r="Z45" s="426"/>
      <c r="AA45" s="426"/>
      <c r="AB45" s="426"/>
      <c r="AC45" s="426"/>
      <c r="AD45" s="426"/>
      <c r="AE45" s="426"/>
    </row>
    <row r="46" spans="1:31" x14ac:dyDescent="0.25">
      <c r="A46" s="2" t="s">
        <v>91</v>
      </c>
      <c r="B46" s="15">
        <f>Phasing!C33</f>
        <v>1</v>
      </c>
      <c r="C46" s="57">
        <f>Phasing!D33</f>
        <v>0</v>
      </c>
      <c r="D46" s="57">
        <f>Phasing!E33</f>
        <v>2</v>
      </c>
      <c r="E46" s="57">
        <f>Phasing!F33</f>
        <v>0</v>
      </c>
      <c r="F46" s="57">
        <f>Phasing!G33</f>
        <v>2.2999999999999998</v>
      </c>
      <c r="G46" s="57">
        <f>Phasing!H33</f>
        <v>0</v>
      </c>
      <c r="H46" s="57">
        <f>Phasing!I33</f>
        <v>2</v>
      </c>
      <c r="I46" s="57">
        <f>Phasing!J33</f>
        <v>0</v>
      </c>
      <c r="J46" s="57">
        <f>Phasing!K33</f>
        <v>2.2999999999999998</v>
      </c>
      <c r="P46" s="10"/>
      <c r="Q46" s="10"/>
      <c r="R46" s="10"/>
      <c r="S46" s="10"/>
      <c r="T46" s="10"/>
      <c r="U46" s="10"/>
      <c r="X46" s="426"/>
      <c r="Y46" s="426"/>
      <c r="Z46" s="426"/>
      <c r="AA46" s="426"/>
      <c r="AB46" s="426"/>
      <c r="AC46" s="426"/>
      <c r="AD46" s="426"/>
      <c r="AE46" s="426"/>
    </row>
    <row r="47" spans="1:31" ht="15" customHeight="1" x14ac:dyDescent="0.25">
      <c r="A47" s="2" t="s">
        <v>92</v>
      </c>
      <c r="B47" s="15">
        <f>Phasing!C34</f>
        <v>1</v>
      </c>
      <c r="C47" s="57">
        <f>Phasing!D34</f>
        <v>0</v>
      </c>
      <c r="D47" s="57">
        <f>Phasing!E34</f>
        <v>10</v>
      </c>
      <c r="E47" s="57">
        <f>Phasing!F34</f>
        <v>0</v>
      </c>
      <c r="F47" s="57">
        <f>Phasing!G34</f>
        <v>10</v>
      </c>
      <c r="G47" s="57">
        <f>Phasing!H34</f>
        <v>0</v>
      </c>
      <c r="H47" s="57">
        <f>Phasing!I34</f>
        <v>10</v>
      </c>
      <c r="I47" s="57">
        <f>Phasing!J34</f>
        <v>0</v>
      </c>
      <c r="J47" s="57">
        <f>Phasing!K34</f>
        <v>10</v>
      </c>
      <c r="O47" s="427" t="s">
        <v>93</v>
      </c>
      <c r="P47" s="427"/>
      <c r="Q47" s="427"/>
      <c r="R47" s="427"/>
      <c r="S47" s="427"/>
      <c r="T47" s="427"/>
      <c r="U47" s="427"/>
      <c r="V47" s="427"/>
      <c r="X47" s="426"/>
      <c r="Y47" s="426"/>
      <c r="Z47" s="426"/>
      <c r="AA47" s="426"/>
      <c r="AB47" s="426"/>
      <c r="AC47" s="426"/>
      <c r="AD47" s="426"/>
      <c r="AE47" s="426"/>
    </row>
    <row r="48" spans="1:31" x14ac:dyDescent="0.25">
      <c r="A48" s="2" t="s">
        <v>94</v>
      </c>
      <c r="B48" s="15">
        <f>Phasing!C35</f>
        <v>1</v>
      </c>
      <c r="C48" s="57">
        <f>Phasing!D35</f>
        <v>0</v>
      </c>
      <c r="D48" s="57">
        <f>Phasing!E35</f>
        <v>10</v>
      </c>
      <c r="E48" s="57">
        <f>Phasing!F35</f>
        <v>0</v>
      </c>
      <c r="F48" s="57">
        <f>Phasing!G35</f>
        <v>10</v>
      </c>
      <c r="G48" s="57">
        <f>Phasing!H35</f>
        <v>0</v>
      </c>
      <c r="H48" s="57">
        <f>Phasing!I35</f>
        <v>15</v>
      </c>
      <c r="I48" s="57">
        <f>Phasing!J35</f>
        <v>0</v>
      </c>
      <c r="J48" s="57">
        <f>Phasing!K35</f>
        <v>15</v>
      </c>
      <c r="O48" s="427"/>
      <c r="P48" s="427"/>
      <c r="Q48" s="427"/>
      <c r="R48" s="427"/>
      <c r="S48" s="427"/>
      <c r="T48" s="427"/>
      <c r="U48" s="427"/>
      <c r="V48" s="427"/>
      <c r="X48" s="426"/>
      <c r="Y48" s="426"/>
      <c r="Z48" s="426"/>
      <c r="AA48" s="426"/>
      <c r="AB48" s="426"/>
      <c r="AC48" s="426"/>
      <c r="AD48" s="426"/>
      <c r="AE48" s="426"/>
    </row>
    <row r="49" spans="1:22" x14ac:dyDescent="0.25">
      <c r="A49" s="2" t="s">
        <v>95</v>
      </c>
      <c r="B49" s="15">
        <f>Phasing!C36</f>
        <v>1</v>
      </c>
      <c r="C49" s="57">
        <f>Phasing!D36</f>
        <v>0</v>
      </c>
      <c r="D49" s="57">
        <f>Phasing!E36</f>
        <v>0</v>
      </c>
      <c r="E49" s="57">
        <f>Phasing!F36</f>
        <v>0</v>
      </c>
      <c r="F49" s="57">
        <f>Phasing!G36</f>
        <v>0.3</v>
      </c>
      <c r="G49" s="57">
        <f>Phasing!H36</f>
        <v>0</v>
      </c>
      <c r="H49" s="57">
        <f>Phasing!I36</f>
        <v>0</v>
      </c>
      <c r="I49" s="57">
        <f>Phasing!J36</f>
        <v>0</v>
      </c>
      <c r="J49" s="57">
        <f>Phasing!K36</f>
        <v>0.3</v>
      </c>
      <c r="O49" s="427"/>
      <c r="P49" s="427"/>
      <c r="Q49" s="427"/>
      <c r="R49" s="427"/>
      <c r="S49" s="427"/>
      <c r="T49" s="427"/>
      <c r="U49" s="427"/>
      <c r="V49" s="427"/>
    </row>
    <row r="50" spans="1:22" x14ac:dyDescent="0.25">
      <c r="A50" s="2" t="s">
        <v>96</v>
      </c>
      <c r="B50" s="15">
        <f>Phasing!C37</f>
        <v>1</v>
      </c>
      <c r="C50" s="57">
        <f>Phasing!D37</f>
        <v>0</v>
      </c>
      <c r="D50" s="57">
        <f>Phasing!E37</f>
        <v>3.2</v>
      </c>
      <c r="E50" s="57">
        <f>Phasing!F37</f>
        <v>0</v>
      </c>
      <c r="F50" s="57">
        <f>Phasing!G37</f>
        <v>3.9</v>
      </c>
      <c r="G50" s="57">
        <f>Phasing!H37</f>
        <v>0</v>
      </c>
      <c r="H50" s="57">
        <f>Phasing!I37</f>
        <v>3.2</v>
      </c>
      <c r="I50" s="57">
        <f>Phasing!J37</f>
        <v>0</v>
      </c>
      <c r="J50" s="57">
        <f>Phasing!K37</f>
        <v>3.9</v>
      </c>
      <c r="O50" s="427"/>
      <c r="P50" s="427"/>
      <c r="Q50" s="427"/>
      <c r="R50" s="427"/>
      <c r="S50" s="427"/>
      <c r="T50" s="427"/>
      <c r="U50" s="427"/>
      <c r="V50" s="427"/>
    </row>
    <row r="51" spans="1:22" x14ac:dyDescent="0.25">
      <c r="A51" s="2" t="s">
        <v>97</v>
      </c>
      <c r="B51" s="15">
        <f>Phasing!C38</f>
        <v>1</v>
      </c>
      <c r="C51" s="57">
        <f>Phasing!D38</f>
        <v>0</v>
      </c>
      <c r="D51" s="57">
        <f>Phasing!E38</f>
        <v>2.5</v>
      </c>
      <c r="E51" s="57">
        <f>Phasing!F38</f>
        <v>0</v>
      </c>
      <c r="F51" s="57">
        <f>Phasing!G38</f>
        <v>2.2000000000000002</v>
      </c>
      <c r="G51" s="57">
        <f>Phasing!H38</f>
        <v>0</v>
      </c>
      <c r="H51" s="57">
        <f>Phasing!I38</f>
        <v>2.5</v>
      </c>
      <c r="I51" s="57">
        <f>Phasing!J38</f>
        <v>0</v>
      </c>
      <c r="J51" s="57">
        <f>Phasing!K38</f>
        <v>2.2000000000000002</v>
      </c>
      <c r="O51" s="427"/>
      <c r="P51" s="427"/>
      <c r="Q51" s="427"/>
      <c r="R51" s="427"/>
      <c r="S51" s="427"/>
      <c r="T51" s="427"/>
      <c r="U51" s="427"/>
      <c r="V51" s="427"/>
    </row>
    <row r="52" spans="1:22" x14ac:dyDescent="0.25">
      <c r="A52" s="2" t="s">
        <v>98</v>
      </c>
      <c r="B52" s="15">
        <f>Phasing!C39</f>
        <v>1</v>
      </c>
      <c r="C52" s="57">
        <f>Phasing!D39</f>
        <v>0</v>
      </c>
      <c r="D52" s="57">
        <f>Phasing!E39</f>
        <v>1</v>
      </c>
      <c r="E52" s="57">
        <f>Phasing!F39</f>
        <v>0</v>
      </c>
      <c r="F52" s="57">
        <f>Phasing!G39</f>
        <v>1</v>
      </c>
      <c r="G52" s="57">
        <f>Phasing!H39</f>
        <v>0</v>
      </c>
      <c r="H52" s="57">
        <f>Phasing!I39</f>
        <v>1</v>
      </c>
      <c r="I52" s="57">
        <f>Phasing!J39</f>
        <v>0</v>
      </c>
      <c r="J52" s="57">
        <f>Phasing!K39</f>
        <v>1</v>
      </c>
      <c r="O52" s="427"/>
      <c r="P52" s="427"/>
      <c r="Q52" s="427"/>
      <c r="R52" s="427"/>
      <c r="S52" s="427"/>
      <c r="T52" s="427"/>
      <c r="U52" s="427"/>
      <c r="V52" s="427"/>
    </row>
    <row r="53" spans="1:22" x14ac:dyDescent="0.25">
      <c r="A53" s="2" t="s">
        <v>99</v>
      </c>
      <c r="B53" s="15">
        <f>Phasing!C40</f>
        <v>1</v>
      </c>
      <c r="C53" s="57">
        <f>Phasing!D40</f>
        <v>0</v>
      </c>
      <c r="D53" s="57">
        <f>Phasing!E40</f>
        <v>5</v>
      </c>
      <c r="E53" s="57">
        <f>Phasing!F40</f>
        <v>0</v>
      </c>
      <c r="F53" s="57">
        <f>Phasing!G40</f>
        <v>5</v>
      </c>
      <c r="G53" s="57">
        <f>Phasing!H40</f>
        <v>0</v>
      </c>
      <c r="H53" s="57">
        <f>Phasing!I40</f>
        <v>5</v>
      </c>
      <c r="I53" s="57">
        <f>Phasing!J40</f>
        <v>0</v>
      </c>
      <c r="J53" s="57">
        <f>Phasing!K40</f>
        <v>5</v>
      </c>
      <c r="O53" s="427"/>
      <c r="P53" s="427"/>
      <c r="Q53" s="427"/>
      <c r="R53" s="427"/>
      <c r="S53" s="427"/>
      <c r="T53" s="427"/>
      <c r="U53" s="427"/>
      <c r="V53" s="427"/>
    </row>
    <row r="54" spans="1:22" x14ac:dyDescent="0.25">
      <c r="A54" s="2" t="s">
        <v>100</v>
      </c>
      <c r="B54" s="15">
        <f>Phasing!C41</f>
        <v>1</v>
      </c>
      <c r="C54" s="57">
        <f>Phasing!D41</f>
        <v>0</v>
      </c>
      <c r="D54" s="57">
        <f>Phasing!E41</f>
        <v>31</v>
      </c>
      <c r="E54" s="57">
        <f>Phasing!F41</f>
        <v>0</v>
      </c>
      <c r="F54" s="57">
        <f>Phasing!G41</f>
        <v>24</v>
      </c>
      <c r="G54" s="57">
        <f>Phasing!H41</f>
        <v>0</v>
      </c>
      <c r="H54" s="57">
        <f>Phasing!I41</f>
        <v>31</v>
      </c>
      <c r="I54" s="57">
        <f>Phasing!J41</f>
        <v>0</v>
      </c>
      <c r="J54" s="57">
        <f>Phasing!K41</f>
        <v>24</v>
      </c>
      <c r="O54" s="427"/>
      <c r="P54" s="427"/>
      <c r="Q54" s="427"/>
      <c r="R54" s="427"/>
      <c r="S54" s="427"/>
      <c r="T54" s="427"/>
      <c r="U54" s="427"/>
      <c r="V54" s="427"/>
    </row>
    <row r="55" spans="1:22" x14ac:dyDescent="0.25">
      <c r="A55" s="2" t="s">
        <v>101</v>
      </c>
      <c r="B55" s="15">
        <f>Phasing!C42</f>
        <v>1</v>
      </c>
      <c r="C55" s="57">
        <f>Phasing!D42</f>
        <v>0</v>
      </c>
      <c r="D55" s="57">
        <f>Phasing!E42</f>
        <v>1</v>
      </c>
      <c r="E55" s="57">
        <f>Phasing!F42</f>
        <v>0</v>
      </c>
      <c r="F55" s="57">
        <f>Phasing!G42</f>
        <v>1</v>
      </c>
      <c r="G55" s="57">
        <f>Phasing!H42</f>
        <v>0</v>
      </c>
      <c r="H55" s="57">
        <f>Phasing!I42</f>
        <v>1</v>
      </c>
      <c r="I55" s="57">
        <f>Phasing!J42</f>
        <v>0</v>
      </c>
      <c r="J55" s="57">
        <f>Phasing!K42</f>
        <v>1</v>
      </c>
      <c r="O55" s="427"/>
      <c r="P55" s="427"/>
      <c r="Q55" s="427"/>
      <c r="R55" s="427"/>
      <c r="S55" s="427"/>
      <c r="T55" s="427"/>
      <c r="U55" s="427"/>
      <c r="V55" s="427"/>
    </row>
    <row r="56" spans="1:22" x14ac:dyDescent="0.25">
      <c r="A56" s="2" t="s">
        <v>102</v>
      </c>
      <c r="B56" s="15">
        <f>Phasing!C43</f>
        <v>1</v>
      </c>
      <c r="C56" s="57">
        <f>Phasing!D43</f>
        <v>0</v>
      </c>
      <c r="D56" s="57">
        <f>Phasing!E43</f>
        <v>42</v>
      </c>
      <c r="E56" s="57">
        <f>Phasing!F43</f>
        <v>0</v>
      </c>
      <c r="F56" s="57">
        <f>Phasing!G43</f>
        <v>36</v>
      </c>
      <c r="G56" s="57">
        <f>Phasing!H43</f>
        <v>0</v>
      </c>
      <c r="H56" s="57">
        <f>Phasing!I43</f>
        <v>42</v>
      </c>
      <c r="I56" s="57">
        <f>Phasing!J43</f>
        <v>0</v>
      </c>
      <c r="J56" s="57">
        <f>Phasing!K43</f>
        <v>36</v>
      </c>
    </row>
    <row r="57" spans="1:22" x14ac:dyDescent="0.25">
      <c r="A57" s="2" t="s">
        <v>103</v>
      </c>
      <c r="B57" s="15">
        <f>Phasing!C44</f>
        <v>1</v>
      </c>
      <c r="C57" s="57">
        <f>Phasing!D44</f>
        <v>0</v>
      </c>
      <c r="D57" s="57">
        <f>Phasing!E44</f>
        <v>1</v>
      </c>
      <c r="E57" s="57">
        <f>Phasing!F44</f>
        <v>0</v>
      </c>
      <c r="F57" s="57">
        <f>Phasing!G44</f>
        <v>1</v>
      </c>
      <c r="G57" s="57">
        <f>Phasing!H44</f>
        <v>0</v>
      </c>
      <c r="H57" s="57">
        <f>Phasing!I44</f>
        <v>1</v>
      </c>
      <c r="I57" s="57">
        <f>Phasing!J44</f>
        <v>0</v>
      </c>
      <c r="J57" s="57">
        <f>Phasing!K44</f>
        <v>1</v>
      </c>
    </row>
    <row r="58" spans="1:22" x14ac:dyDescent="0.25">
      <c r="A58" s="2" t="s">
        <v>104</v>
      </c>
      <c r="B58" s="15">
        <f>Phasing!C45</f>
        <v>1</v>
      </c>
      <c r="C58" s="57">
        <f>Phasing!D45</f>
        <v>0</v>
      </c>
      <c r="D58" s="57">
        <f>Phasing!E45</f>
        <v>1</v>
      </c>
      <c r="E58" s="57">
        <f>Phasing!F45</f>
        <v>0</v>
      </c>
      <c r="F58" s="57">
        <f>Phasing!G45</f>
        <v>1</v>
      </c>
      <c r="G58" s="57">
        <f>Phasing!H45</f>
        <v>0</v>
      </c>
      <c r="H58" s="57">
        <f>Phasing!I45</f>
        <v>1</v>
      </c>
      <c r="I58" s="57">
        <f>Phasing!J45</f>
        <v>0</v>
      </c>
      <c r="J58" s="57">
        <f>Phasing!K45</f>
        <v>1</v>
      </c>
    </row>
    <row r="59" spans="1:22" x14ac:dyDescent="0.25">
      <c r="A59" s="2" t="s">
        <v>105</v>
      </c>
      <c r="B59" s="15">
        <f>Phasing!C46</f>
        <v>1</v>
      </c>
      <c r="C59" s="57">
        <f>Phasing!D46</f>
        <v>0</v>
      </c>
      <c r="D59" s="57">
        <f>Phasing!E46</f>
        <v>0</v>
      </c>
      <c r="E59" s="57">
        <f>Phasing!F46</f>
        <v>0</v>
      </c>
      <c r="F59" s="57">
        <f>Phasing!G46</f>
        <v>44</v>
      </c>
      <c r="G59" s="57">
        <f>Phasing!H46</f>
        <v>0</v>
      </c>
      <c r="H59" s="57">
        <f>Phasing!I46</f>
        <v>0</v>
      </c>
      <c r="I59" s="57">
        <f>Phasing!J46</f>
        <v>0</v>
      </c>
      <c r="J59" s="57">
        <f>Phasing!K46</f>
        <v>44</v>
      </c>
    </row>
    <row r="60" spans="1:22" x14ac:dyDescent="0.25">
      <c r="A60" s="2" t="s">
        <v>106</v>
      </c>
      <c r="B60" s="15">
        <f>Phasing!C47</f>
        <v>1</v>
      </c>
      <c r="C60" s="57">
        <f>Phasing!D47</f>
        <v>0</v>
      </c>
      <c r="D60" s="57">
        <f>Phasing!E47</f>
        <v>44</v>
      </c>
      <c r="E60" s="57">
        <f>Phasing!F47</f>
        <v>0</v>
      </c>
      <c r="F60" s="57">
        <f>Phasing!G47</f>
        <v>80</v>
      </c>
      <c r="G60" s="57">
        <f>Phasing!H47</f>
        <v>0</v>
      </c>
      <c r="H60" s="57">
        <f>Phasing!I47</f>
        <v>44</v>
      </c>
      <c r="I60" s="57">
        <f>Phasing!J47</f>
        <v>0</v>
      </c>
      <c r="J60" s="57">
        <f>Phasing!K47</f>
        <v>80</v>
      </c>
    </row>
    <row r="61" spans="1:22" x14ac:dyDescent="0.25">
      <c r="A61" s="2" t="s">
        <v>107</v>
      </c>
      <c r="B61" s="15">
        <f>Phasing!C48</f>
        <v>1</v>
      </c>
      <c r="C61" s="57">
        <f>Phasing!D48</f>
        <v>0</v>
      </c>
      <c r="D61" s="57">
        <f>Phasing!E48</f>
        <v>38</v>
      </c>
      <c r="E61" s="57">
        <f>Phasing!F48</f>
        <v>0</v>
      </c>
      <c r="F61" s="57">
        <f>Phasing!G48</f>
        <v>74</v>
      </c>
      <c r="G61" s="57">
        <f>Phasing!H48</f>
        <v>0</v>
      </c>
      <c r="H61" s="57">
        <f>Phasing!I48</f>
        <v>38</v>
      </c>
      <c r="I61" s="57">
        <f>Phasing!J48</f>
        <v>0</v>
      </c>
      <c r="J61" s="57">
        <f>Phasing!K48</f>
        <v>74</v>
      </c>
    </row>
    <row r="62" spans="1:22" x14ac:dyDescent="0.25">
      <c r="A62" s="2" t="s">
        <v>108</v>
      </c>
      <c r="B62" s="15">
        <f>Phasing!C49</f>
        <v>1</v>
      </c>
      <c r="C62" s="57">
        <f>Phasing!D49</f>
        <v>0</v>
      </c>
      <c r="D62" s="57">
        <f>Phasing!E49</f>
        <v>38</v>
      </c>
      <c r="E62" s="57">
        <f>Phasing!F49</f>
        <v>0</v>
      </c>
      <c r="F62" s="57">
        <f>Phasing!G49</f>
        <v>74</v>
      </c>
      <c r="G62" s="57">
        <f>Phasing!H49</f>
        <v>0</v>
      </c>
      <c r="H62" s="57">
        <f>Phasing!I49</f>
        <v>38</v>
      </c>
      <c r="I62" s="57">
        <f>Phasing!J49</f>
        <v>0</v>
      </c>
      <c r="J62" s="57">
        <f>Phasing!K49</f>
        <v>74</v>
      </c>
    </row>
    <row r="63" spans="1:22" x14ac:dyDescent="0.25">
      <c r="A63" s="2" t="s">
        <v>109</v>
      </c>
      <c r="B63" s="15">
        <f>Phasing!C50</f>
        <v>1</v>
      </c>
      <c r="C63" s="57">
        <f>Phasing!D50</f>
        <v>0</v>
      </c>
      <c r="D63" s="57">
        <f>Phasing!E50</f>
        <v>0</v>
      </c>
      <c r="E63" s="57">
        <f>Phasing!F50</f>
        <v>0</v>
      </c>
      <c r="F63" s="57">
        <f>Phasing!G50</f>
        <v>44</v>
      </c>
      <c r="G63" s="57">
        <f>Phasing!H50</f>
        <v>0</v>
      </c>
      <c r="H63" s="57">
        <f>Phasing!I50</f>
        <v>0</v>
      </c>
      <c r="I63" s="57">
        <f>Phasing!J50</f>
        <v>0</v>
      </c>
      <c r="J63" s="57">
        <f>Phasing!K50</f>
        <v>44</v>
      </c>
    </row>
    <row r="64" spans="1:22" x14ac:dyDescent="0.25">
      <c r="A64" s="2" t="s">
        <v>110</v>
      </c>
      <c r="B64" s="15">
        <f>Phasing!C51</f>
        <v>1</v>
      </c>
      <c r="C64" s="57">
        <f>Phasing!D51</f>
        <v>0</v>
      </c>
      <c r="D64" s="57">
        <f>Phasing!E51</f>
        <v>38</v>
      </c>
      <c r="E64" s="57">
        <f>Phasing!F51</f>
        <v>0</v>
      </c>
      <c r="F64" s="57">
        <f>Phasing!G51</f>
        <v>74</v>
      </c>
      <c r="G64" s="57">
        <f>Phasing!H51</f>
        <v>0</v>
      </c>
      <c r="H64" s="57">
        <f>Phasing!I51</f>
        <v>38</v>
      </c>
      <c r="I64" s="57">
        <f>Phasing!J51</f>
        <v>0</v>
      </c>
      <c r="J64" s="57">
        <f>Phasing!K51</f>
        <v>74</v>
      </c>
    </row>
    <row r="65" spans="1:21" x14ac:dyDescent="0.25">
      <c r="A65" s="2" t="s">
        <v>111</v>
      </c>
      <c r="B65" s="15">
        <f>Phasing!C52</f>
        <v>1</v>
      </c>
      <c r="C65" s="57">
        <f>Phasing!D52</f>
        <v>0</v>
      </c>
      <c r="D65" s="57">
        <f>Phasing!E52</f>
        <v>38</v>
      </c>
      <c r="E65" s="57">
        <f>Phasing!F52</f>
        <v>0</v>
      </c>
      <c r="F65" s="57">
        <f>Phasing!G52</f>
        <v>74</v>
      </c>
      <c r="G65" s="57">
        <f>Phasing!H52</f>
        <v>0</v>
      </c>
      <c r="H65" s="57">
        <f>Phasing!I52</f>
        <v>38</v>
      </c>
      <c r="I65" s="57">
        <f>Phasing!J52</f>
        <v>0</v>
      </c>
      <c r="J65" s="57">
        <f>Phasing!K52</f>
        <v>74</v>
      </c>
    </row>
    <row r="66" spans="1:21" s="134" customFormat="1" x14ac:dyDescent="0.25">
      <c r="A66" s="420" t="s">
        <v>112</v>
      </c>
      <c r="D66" s="134">
        <f>'Phase calculation'!J55</f>
        <v>0.5</v>
      </c>
      <c r="E66" s="134">
        <f>'Phase calculation'!K55</f>
        <v>0.5</v>
      </c>
      <c r="F66" s="134">
        <f>'Phase calculation'!L55</f>
        <v>0.5</v>
      </c>
      <c r="I66" s="134">
        <f>'Phase calculation'!M55</f>
        <v>0.5</v>
      </c>
      <c r="J66" s="134">
        <f>'Phase calculation'!N55</f>
        <v>0.5</v>
      </c>
      <c r="K66" s="134">
        <f>'Phase calculation'!O55</f>
        <v>0.5</v>
      </c>
      <c r="N66" s="134">
        <f>'Phase calculation'!D55</f>
        <v>0.4</v>
      </c>
      <c r="O66" s="134">
        <f>'Phase calculation'!E55</f>
        <v>0.4</v>
      </c>
      <c r="P66" s="134">
        <f>'Phase calculation'!F55</f>
        <v>0.4</v>
      </c>
      <c r="S66" s="134">
        <f>'Phase calculation'!G55</f>
        <v>0.4</v>
      </c>
      <c r="T66" s="134">
        <f>'Phase calculation'!H55</f>
        <v>0.4</v>
      </c>
      <c r="U66" s="134">
        <f>'Phase calculation'!I55</f>
        <v>0.4</v>
      </c>
    </row>
    <row r="67" spans="1:21" x14ac:dyDescent="0.25">
      <c r="A67" s="430" t="s">
        <v>113</v>
      </c>
      <c r="B67" s="430"/>
      <c r="C67" s="2" t="str">
        <f>'Summary sheet'!G93</f>
        <v>Not used</v>
      </c>
      <c r="D67" s="2" t="str">
        <f>'Summary sheet'!H93</f>
        <v>NBT</v>
      </c>
      <c r="E67" s="2" t="str">
        <f>'Summary sheet'!I93</f>
        <v>Not used</v>
      </c>
      <c r="F67" s="2" t="str">
        <f>'Summary sheet'!J93</f>
        <v>EBT</v>
      </c>
      <c r="G67" s="2" t="str">
        <f>'Summary sheet'!K93</f>
        <v>Not used</v>
      </c>
      <c r="H67" s="2" t="str">
        <f>'Summary sheet'!L93</f>
        <v>SBT</v>
      </c>
      <c r="I67" s="2" t="str">
        <f>'Summary sheet'!M93</f>
        <v>Not used</v>
      </c>
      <c r="J67" s="2" t="str">
        <f>'Summary sheet'!N93</f>
        <v>WBT</v>
      </c>
    </row>
    <row r="68" spans="1:21" x14ac:dyDescent="0.25">
      <c r="A68" s="430" t="s">
        <v>114</v>
      </c>
      <c r="B68" s="430"/>
      <c r="C68" s="2" t="str">
        <f>IF(AND(C70&gt;0,C70=H70),"X","")</f>
        <v>X</v>
      </c>
      <c r="D68" s="2"/>
      <c r="E68" s="2" t="str">
        <f>IF(AND(E70&gt;0,E70=J70),"X","")</f>
        <v>X</v>
      </c>
      <c r="F68" s="2"/>
      <c r="G68" s="2" t="str">
        <f>IF(AND(G70&gt;0,G70=D70),"X","")</f>
        <v>X</v>
      </c>
      <c r="H68" s="2"/>
      <c r="I68" s="2" t="str">
        <f>IF(AND(I70&gt;0,I70=F70),"X","")</f>
        <v>X</v>
      </c>
      <c r="J68" s="2"/>
    </row>
    <row r="69" spans="1:21" x14ac:dyDescent="0.25">
      <c r="A69" s="430" t="s">
        <v>115</v>
      </c>
      <c r="B69" s="430"/>
      <c r="C69" s="2" t="str">
        <f>IF(C67="Not used",H67,C67)</f>
        <v>SBT</v>
      </c>
      <c r="D69" s="2" t="str">
        <f>D67</f>
        <v>NBT</v>
      </c>
      <c r="E69" s="2" t="str">
        <f>IF(E67="Not used",J67,E67)</f>
        <v>WBT</v>
      </c>
      <c r="F69" s="2" t="str">
        <f>F67</f>
        <v>EBT</v>
      </c>
      <c r="G69" s="2" t="str">
        <f>IF(G67="Not used",D67,G67)</f>
        <v>NBT</v>
      </c>
      <c r="H69" s="2" t="str">
        <f>H67</f>
        <v>SBT</v>
      </c>
      <c r="I69" s="2" t="str">
        <f>IF(I67="Not used",F67,I67)</f>
        <v>EBT</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116</v>
      </c>
      <c r="C71" s="2">
        <f t="shared" ref="C71:J71" si="2">IF(C67="Not used",0,MATCH(C77,$D$1:$U$1,0))</f>
        <v>0</v>
      </c>
      <c r="D71" s="2">
        <f t="shared" si="2"/>
        <v>2</v>
      </c>
      <c r="E71" s="2">
        <f t="shared" si="2"/>
        <v>0</v>
      </c>
      <c r="F71" s="2">
        <f t="shared" si="2"/>
        <v>12</v>
      </c>
      <c r="G71" s="2">
        <f t="shared" si="2"/>
        <v>0</v>
      </c>
      <c r="H71" s="2">
        <f t="shared" si="2"/>
        <v>7</v>
      </c>
      <c r="I71" s="2">
        <f t="shared" si="2"/>
        <v>0</v>
      </c>
      <c r="J71" s="2">
        <f t="shared" si="2"/>
        <v>17</v>
      </c>
      <c r="O71" t="s">
        <v>14</v>
      </c>
      <c r="P71" t="s">
        <v>13</v>
      </c>
    </row>
    <row r="72" spans="1:21" x14ac:dyDescent="0.25">
      <c r="A72" s="422" t="s">
        <v>117</v>
      </c>
      <c r="B72" s="422"/>
      <c r="C72" s="420">
        <f>IF(C71=0,0,INDEX($D$17:$U$17,1,C71))</f>
        <v>0</v>
      </c>
      <c r="D72" s="420">
        <f t="shared" ref="D72:J72" si="3">IF(D71=0,0,INDEX($D$17:$U$17,1,D71))</f>
        <v>40</v>
      </c>
      <c r="E72" s="420">
        <f t="shared" si="3"/>
        <v>0</v>
      </c>
      <c r="F72" s="420">
        <f t="shared" si="3"/>
        <v>32</v>
      </c>
      <c r="G72" s="420">
        <f t="shared" si="3"/>
        <v>0</v>
      </c>
      <c r="H72" s="420">
        <f t="shared" si="3"/>
        <v>40</v>
      </c>
      <c r="I72" s="420">
        <f t="shared" si="3"/>
        <v>0</v>
      </c>
      <c r="J72" s="420">
        <f t="shared" si="3"/>
        <v>32</v>
      </c>
      <c r="O72" t="s">
        <v>19</v>
      </c>
      <c r="P72" t="s">
        <v>18</v>
      </c>
    </row>
    <row r="73" spans="1:21" x14ac:dyDescent="0.25">
      <c r="A73" s="423" t="s">
        <v>118</v>
      </c>
      <c r="B73" s="423"/>
      <c r="C73" s="46">
        <f>C59</f>
        <v>0</v>
      </c>
      <c r="D73" s="46">
        <f t="shared" ref="D73:J73" si="4">D59</f>
        <v>0</v>
      </c>
      <c r="E73" s="46">
        <f t="shared" si="4"/>
        <v>0</v>
      </c>
      <c r="F73" s="46">
        <f t="shared" si="4"/>
        <v>44</v>
      </c>
      <c r="G73" s="46">
        <f t="shared" si="4"/>
        <v>0</v>
      </c>
      <c r="H73" s="46">
        <f t="shared" si="4"/>
        <v>0</v>
      </c>
      <c r="I73" s="46">
        <f t="shared" si="4"/>
        <v>0</v>
      </c>
      <c r="J73" s="46">
        <f t="shared" si="4"/>
        <v>44</v>
      </c>
      <c r="O73" t="s">
        <v>119</v>
      </c>
      <c r="P73">
        <v>0</v>
      </c>
    </row>
    <row r="74" spans="1:21" x14ac:dyDescent="0.25">
      <c r="A74" s="424" t="s">
        <v>120</v>
      </c>
      <c r="B74" s="424"/>
      <c r="C74" s="8">
        <f>C73+C72</f>
        <v>0</v>
      </c>
      <c r="D74" s="8">
        <f t="shared" ref="D74:J74" si="5">D73+D72</f>
        <v>40</v>
      </c>
      <c r="E74" s="8">
        <f t="shared" si="5"/>
        <v>0</v>
      </c>
      <c r="F74" s="8">
        <f t="shared" si="5"/>
        <v>76</v>
      </c>
      <c r="G74" s="8">
        <f t="shared" si="5"/>
        <v>0</v>
      </c>
      <c r="H74" s="8">
        <f t="shared" si="5"/>
        <v>40</v>
      </c>
      <c r="I74" s="8">
        <f t="shared" si="5"/>
        <v>0</v>
      </c>
      <c r="J74" s="8">
        <f t="shared" si="5"/>
        <v>76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425" t="s">
        <v>121</v>
      </c>
      <c r="B76" s="425"/>
      <c r="C76" s="2">
        <f>IF(C69=H69,MATCH(C69,$O$69:$O$77,0),0)</f>
        <v>2</v>
      </c>
      <c r="D76" s="2"/>
      <c r="E76" s="2">
        <f>IF(E69=J69,MATCH(E69,$O$69:$O$77,0),0)</f>
        <v>4</v>
      </c>
      <c r="F76" s="2"/>
      <c r="G76" s="2">
        <f>IF(G69=D69,MATCH(G69,$O$69:$O$77,0),0)</f>
        <v>1</v>
      </c>
      <c r="H76" s="2"/>
      <c r="I76" s="2">
        <f>IF(I69=F69,MATCH(I69,$O$69:$O$77,0),0)</f>
        <v>3</v>
      </c>
      <c r="J76" s="2"/>
      <c r="K76" s="2"/>
      <c r="L76" s="2"/>
      <c r="M76" s="2"/>
      <c r="N76" s="2"/>
      <c r="O76" t="s">
        <v>13</v>
      </c>
      <c r="P76" t="s">
        <v>13</v>
      </c>
    </row>
    <row r="77" spans="1:21" x14ac:dyDescent="0.25">
      <c r="A77" s="425"/>
      <c r="B77" s="425"/>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O43:V43"/>
    <mergeCell ref="O44:V44"/>
    <mergeCell ref="A67:B67"/>
    <mergeCell ref="A68:B68"/>
    <mergeCell ref="A69:B69"/>
    <mergeCell ref="A72:B72"/>
    <mergeCell ref="A73:B73"/>
    <mergeCell ref="A74:B74"/>
    <mergeCell ref="A76:B77"/>
    <mergeCell ref="X44:AE48"/>
    <mergeCell ref="O47:V55"/>
  </mergeCells>
  <phoneticPr fontId="25" type="noConversion"/>
  <conditionalFormatting sqref="C68:J68">
    <cfRule type="containsText" dxfId="43" priority="1" stopIfTrue="1" operator="containsText" text="X">
      <formula>NOT(ISERROR(SEARCH("X",C68)))</formula>
    </cfRule>
  </conditionalFormatting>
  <pageMargins left="0.7" right="0.7" top="0.75" bottom="0.75" header="0.3" footer="0.3"/>
  <pageSetup orientation="portrait" horizontalDpi="1200" verticalDpi="12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topLeftCell="C1" zoomScaleNormal="100" workbookViewId="0">
      <selection activeCell="N14" sqref="N14"/>
    </sheetView>
  </sheetViews>
  <sheetFormatPr defaultColWidth="9.109375" defaultRowHeight="13.2" x14ac:dyDescent="0.25"/>
  <cols>
    <col min="1" max="1" width="9.109375" style="359"/>
    <col min="2" max="2" width="9.109375" style="359" customWidth="1"/>
    <col min="3" max="3" width="4.6640625" style="359" customWidth="1"/>
    <col min="4" max="4" width="10.5546875" style="359" customWidth="1"/>
    <col min="5" max="7" width="9.109375" style="359"/>
    <col min="8" max="8" width="11.5546875" style="359" customWidth="1"/>
    <col min="9" max="9" width="10.5546875" style="359" customWidth="1"/>
    <col min="10" max="12" width="9.109375" style="359"/>
    <col min="13" max="13" width="11.109375" style="359" customWidth="1"/>
    <col min="14" max="14" width="10.33203125" style="359" customWidth="1"/>
    <col min="15" max="15" width="11.5546875" style="359" customWidth="1"/>
    <col min="16" max="16" width="9.88671875" style="359" customWidth="1"/>
    <col min="17" max="17" width="4.6640625" style="359" customWidth="1"/>
    <col min="18" max="18" width="9.109375" style="359"/>
    <col min="19" max="20" width="9.109375" style="359" customWidth="1"/>
    <col min="21" max="21" width="13.5546875" style="359" customWidth="1"/>
    <col min="22" max="23" width="9.109375" style="359" customWidth="1"/>
    <col min="24" max="26" width="9.109375" style="360" hidden="1" customWidth="1"/>
    <col min="27" max="16384" width="9.109375" style="359"/>
  </cols>
  <sheetData>
    <row r="1" spans="1:26" ht="15" customHeight="1" x14ac:dyDescent="0.25">
      <c r="A1" s="361" t="s">
        <v>122</v>
      </c>
      <c r="B1" s="362"/>
      <c r="C1" s="363"/>
      <c r="D1" s="363"/>
      <c r="T1" s="371"/>
      <c r="U1" s="371"/>
      <c r="V1" s="371"/>
      <c r="W1" s="371"/>
    </row>
    <row r="2" spans="1:26" ht="15" customHeight="1" x14ac:dyDescent="0.25">
      <c r="A2" s="364" t="s">
        <v>123</v>
      </c>
      <c r="B2" s="365">
        <v>12.5</v>
      </c>
      <c r="C2" s="363"/>
      <c r="D2" s="363"/>
      <c r="E2" s="366"/>
      <c r="F2" s="367"/>
      <c r="H2" s="359" t="s">
        <v>124</v>
      </c>
      <c r="I2" s="375" t="s">
        <v>125</v>
      </c>
      <c r="J2" s="392"/>
      <c r="K2" s="376"/>
      <c r="L2" s="359" t="s">
        <v>126</v>
      </c>
      <c r="M2" s="379">
        <v>0</v>
      </c>
      <c r="N2" s="359" t="s">
        <v>127</v>
      </c>
      <c r="T2" s="371">
        <f>IF(OR(Sheet1!O29&gt;0,D16="Yes"),1,0)</f>
        <v>1</v>
      </c>
      <c r="U2" s="371">
        <f>IF(OR(Sheet1!E29&gt;0,M22="Yes"),1,0)</f>
        <v>1</v>
      </c>
      <c r="V2" s="371">
        <f>IF(OR(Sheet1!T29&gt;0,P16="Yes"),1,0)</f>
        <v>1</v>
      </c>
      <c r="W2" s="371">
        <f>IF(OR(Sheet1!J29&gt;0,L5="Yes"),1,0)</f>
        <v>1</v>
      </c>
    </row>
    <row r="3" spans="1:26" x14ac:dyDescent="0.25">
      <c r="A3" s="364" t="s">
        <v>128</v>
      </c>
      <c r="B3" s="365">
        <v>31.5</v>
      </c>
      <c r="C3" s="363"/>
      <c r="D3" s="363"/>
      <c r="E3" s="366"/>
      <c r="F3" s="367"/>
      <c r="U3" s="399" t="s">
        <v>129</v>
      </c>
      <c r="V3" s="400">
        <v>1900</v>
      </c>
    </row>
    <row r="4" spans="1:26" x14ac:dyDescent="0.25">
      <c r="A4" s="368" t="s">
        <v>130</v>
      </c>
      <c r="B4" s="369">
        <v>8</v>
      </c>
      <c r="C4" s="363"/>
      <c r="D4" s="363"/>
      <c r="E4" s="366"/>
      <c r="F4" s="367"/>
      <c r="I4" s="359" t="s">
        <v>131</v>
      </c>
      <c r="J4" s="377">
        <v>30</v>
      </c>
      <c r="L4" s="359" t="s">
        <v>132</v>
      </c>
      <c r="U4" s="401" t="s">
        <v>133</v>
      </c>
      <c r="V4" s="402">
        <v>1</v>
      </c>
    </row>
    <row r="5" spans="1:26" x14ac:dyDescent="0.25">
      <c r="A5" s="363"/>
      <c r="B5" s="363"/>
      <c r="C5" s="363"/>
      <c r="D5" s="363"/>
      <c r="E5" s="366"/>
      <c r="F5" s="367"/>
      <c r="L5" s="380" t="s">
        <v>134</v>
      </c>
      <c r="M5" s="381" t="s">
        <v>135</v>
      </c>
      <c r="N5" s="381" t="s">
        <v>136</v>
      </c>
      <c r="R5" s="402"/>
      <c r="U5" s="399" t="s">
        <v>137</v>
      </c>
      <c r="V5" s="400">
        <f>B4</f>
        <v>8</v>
      </c>
      <c r="X5" s="403"/>
      <c r="Y5" s="403"/>
    </row>
    <row r="6" spans="1:26" ht="15" customHeight="1" x14ac:dyDescent="0.25">
      <c r="A6" s="363"/>
      <c r="B6" s="363"/>
      <c r="C6" s="363"/>
      <c r="D6" s="363"/>
      <c r="E6" s="366"/>
      <c r="F6" s="367"/>
      <c r="G6" s="359" t="s">
        <v>138</v>
      </c>
      <c r="H6" s="370" t="s">
        <v>139</v>
      </c>
      <c r="I6" s="373">
        <v>1</v>
      </c>
      <c r="J6" s="373">
        <v>2</v>
      </c>
      <c r="K6" s="373">
        <v>1</v>
      </c>
      <c r="M6" s="379">
        <v>49</v>
      </c>
      <c r="N6" s="379">
        <v>4</v>
      </c>
      <c r="U6" s="401" t="s">
        <v>140</v>
      </c>
      <c r="V6" s="404">
        <v>4</v>
      </c>
      <c r="W6" s="405"/>
    </row>
    <row r="7" spans="1:26" ht="13.5" customHeight="1" x14ac:dyDescent="0.25">
      <c r="A7" s="363"/>
      <c r="B7" s="363"/>
      <c r="C7" s="363"/>
      <c r="D7" s="363"/>
      <c r="E7" s="366"/>
      <c r="F7" s="367"/>
      <c r="G7" s="359" t="s">
        <v>60</v>
      </c>
      <c r="H7" s="370">
        <v>10</v>
      </c>
      <c r="I7" s="374">
        <v>100</v>
      </c>
      <c r="J7" s="374">
        <v>850</v>
      </c>
      <c r="K7" s="374">
        <v>100</v>
      </c>
      <c r="L7" s="434" t="str">
        <f>IF($B$21="Yes","SB LT Treatment","")</f>
        <v/>
      </c>
      <c r="M7" s="434"/>
      <c r="U7" s="406" t="s">
        <v>141</v>
      </c>
      <c r="V7" s="407" t="s">
        <v>142</v>
      </c>
      <c r="W7" s="408">
        <f>IF(V7="CBD",0.9,1)</f>
        <v>1</v>
      </c>
      <c r="X7" s="409"/>
      <c r="Y7" s="409"/>
    </row>
    <row r="8" spans="1:26" x14ac:dyDescent="0.25">
      <c r="A8" s="363"/>
      <c r="B8" s="363"/>
      <c r="C8" s="363"/>
      <c r="D8" s="363"/>
      <c r="F8" s="434" t="str">
        <f>IF($B$21="Yes","EB LT Treatment","")</f>
        <v/>
      </c>
      <c r="G8" s="434"/>
      <c r="L8" s="432"/>
      <c r="M8" s="433"/>
      <c r="U8" s="401" t="s">
        <v>143</v>
      </c>
      <c r="V8" s="410">
        <v>40</v>
      </c>
    </row>
    <row r="9" spans="1:26" x14ac:dyDescent="0.25">
      <c r="A9" s="363"/>
      <c r="B9" s="363"/>
      <c r="C9" s="363"/>
      <c r="D9" s="363"/>
      <c r="F9" s="432"/>
      <c r="G9" s="433"/>
      <c r="L9" s="371">
        <f>IF(L8="",0,VLOOKUP(L8,$Y$12:$Z$14,2,FALSE))</f>
        <v>0</v>
      </c>
      <c r="M9" s="378"/>
      <c r="O9" s="393"/>
      <c r="P9" s="394"/>
      <c r="U9" s="411" t="s">
        <v>144</v>
      </c>
      <c r="V9" s="412">
        <v>150</v>
      </c>
    </row>
    <row r="10" spans="1:26" x14ac:dyDescent="0.25">
      <c r="F10" s="371">
        <f>IF(F9="",0,VLOOKUP(F9,$Y$12:$Z$14,2,FALSE))</f>
        <v>0</v>
      </c>
      <c r="M10" s="359" t="s">
        <v>60</v>
      </c>
      <c r="N10" s="359" t="s">
        <v>138</v>
      </c>
      <c r="U10" s="413" t="s">
        <v>145</v>
      </c>
      <c r="V10" s="359">
        <v>3.5</v>
      </c>
      <c r="X10" s="360" t="s">
        <v>134</v>
      </c>
      <c r="Y10" s="360" t="s">
        <v>146</v>
      </c>
    </row>
    <row r="11" spans="1:26" x14ac:dyDescent="0.25">
      <c r="F11" s="359" t="s">
        <v>138</v>
      </c>
      <c r="G11" s="359" t="s">
        <v>60</v>
      </c>
      <c r="M11" s="370" t="s">
        <v>139</v>
      </c>
      <c r="N11" s="370">
        <v>10</v>
      </c>
    </row>
    <row r="12" spans="1:26" x14ac:dyDescent="0.25">
      <c r="A12" s="372" t="s">
        <v>124</v>
      </c>
      <c r="B12" s="372"/>
      <c r="D12" s="359" t="s">
        <v>147</v>
      </c>
      <c r="F12" s="373">
        <v>1</v>
      </c>
      <c r="G12" s="374">
        <v>200</v>
      </c>
      <c r="M12" s="374">
        <v>120</v>
      </c>
      <c r="N12" s="373">
        <v>1</v>
      </c>
      <c r="P12" s="359" t="s">
        <v>148</v>
      </c>
      <c r="R12" s="372" t="s">
        <v>124</v>
      </c>
      <c r="S12" s="372"/>
      <c r="V12" s="414"/>
      <c r="Y12" s="415" t="s">
        <v>149</v>
      </c>
      <c r="Z12" s="360">
        <v>1</v>
      </c>
    </row>
    <row r="13" spans="1:26" x14ac:dyDescent="0.25">
      <c r="A13" s="375" t="s">
        <v>150</v>
      </c>
      <c r="B13" s="376"/>
      <c r="D13" s="377">
        <v>40</v>
      </c>
      <c r="F13" s="378"/>
      <c r="G13" s="378"/>
      <c r="M13" s="378"/>
      <c r="N13" s="378"/>
      <c r="P13" s="377">
        <v>40</v>
      </c>
      <c r="R13" s="375" t="s">
        <v>150</v>
      </c>
      <c r="S13" s="376"/>
      <c r="Y13" s="414" t="s">
        <v>151</v>
      </c>
      <c r="Z13" s="360">
        <v>2</v>
      </c>
    </row>
    <row r="14" spans="1:26" x14ac:dyDescent="0.25">
      <c r="A14" s="359" t="s">
        <v>126</v>
      </c>
      <c r="F14" s="373">
        <v>3</v>
      </c>
      <c r="G14" s="374">
        <v>500</v>
      </c>
      <c r="J14" s="359" t="str">
        <f>I2&amp;" &amp; "&amp;A13</f>
        <v>Minor &amp; Major</v>
      </c>
      <c r="M14" s="374">
        <v>500</v>
      </c>
      <c r="N14" s="373">
        <v>3</v>
      </c>
      <c r="R14" s="359" t="s">
        <v>126</v>
      </c>
      <c r="V14" s="414"/>
      <c r="Y14" s="414" t="s">
        <v>152</v>
      </c>
      <c r="Z14" s="360">
        <v>3</v>
      </c>
    </row>
    <row r="15" spans="1:26" x14ac:dyDescent="0.25">
      <c r="A15" s="379">
        <v>10</v>
      </c>
      <c r="B15" s="359" t="s">
        <v>127</v>
      </c>
      <c r="D15" s="359" t="s">
        <v>153</v>
      </c>
      <c r="F15" s="378"/>
      <c r="G15" s="378"/>
      <c r="M15" s="378"/>
      <c r="N15" s="378"/>
      <c r="P15" s="359" t="s">
        <v>154</v>
      </c>
      <c r="R15" s="379">
        <v>10</v>
      </c>
    </row>
    <row r="16" spans="1:26" x14ac:dyDescent="0.25">
      <c r="D16" s="380" t="s">
        <v>134</v>
      </c>
      <c r="F16" s="373">
        <v>1</v>
      </c>
      <c r="G16" s="374">
        <v>100</v>
      </c>
      <c r="M16" s="374">
        <v>200</v>
      </c>
      <c r="N16" s="373">
        <v>1</v>
      </c>
      <c r="P16" s="380" t="s">
        <v>134</v>
      </c>
      <c r="R16" s="359" t="s">
        <v>127</v>
      </c>
    </row>
    <row r="17" spans="1:24" x14ac:dyDescent="0.25">
      <c r="D17" s="381" t="s">
        <v>135</v>
      </c>
      <c r="E17" s="379">
        <v>88</v>
      </c>
      <c r="F17" s="370" t="s">
        <v>139</v>
      </c>
      <c r="G17" s="370">
        <v>10</v>
      </c>
      <c r="P17" s="381" t="s">
        <v>135</v>
      </c>
      <c r="Q17" s="379">
        <v>30</v>
      </c>
      <c r="U17" s="371" t="s">
        <v>155</v>
      </c>
      <c r="X17" s="360" t="s">
        <v>155</v>
      </c>
    </row>
    <row r="18" spans="1:24" x14ac:dyDescent="0.25">
      <c r="D18" s="381" t="s">
        <v>136</v>
      </c>
      <c r="E18" s="379">
        <v>10</v>
      </c>
      <c r="M18" s="434" t="str">
        <f>IF($B$21="Yes","WB LT Treatment","")</f>
        <v/>
      </c>
      <c r="N18" s="434"/>
      <c r="P18" s="381" t="s">
        <v>136</v>
      </c>
      <c r="Q18" s="379">
        <v>4</v>
      </c>
      <c r="U18" s="371" t="s">
        <v>142</v>
      </c>
      <c r="X18" s="360" t="s">
        <v>142</v>
      </c>
    </row>
    <row r="19" spans="1:24" x14ac:dyDescent="0.25">
      <c r="M19" s="432"/>
      <c r="N19" s="433"/>
    </row>
    <row r="20" spans="1:24" x14ac:dyDescent="0.25">
      <c r="B20" s="382" t="s">
        <v>156</v>
      </c>
      <c r="C20" s="383"/>
      <c r="D20" s="383"/>
      <c r="E20" s="384"/>
      <c r="M20" s="371">
        <f>IF(M19="",0,VLOOKUP(M19,$Y$12:$Z$14,2,FALSE))</f>
        <v>0</v>
      </c>
      <c r="O20" s="395"/>
      <c r="P20" s="395"/>
    </row>
    <row r="21" spans="1:24" x14ac:dyDescent="0.25">
      <c r="B21" s="385" t="s">
        <v>146</v>
      </c>
      <c r="C21" s="386"/>
      <c r="D21" s="386"/>
      <c r="E21" s="387"/>
      <c r="H21" s="359" t="s">
        <v>60</v>
      </c>
      <c r="I21" s="374">
        <v>75</v>
      </c>
      <c r="J21" s="374">
        <v>650</v>
      </c>
      <c r="K21" s="374">
        <v>60</v>
      </c>
      <c r="L21" s="370" t="s">
        <v>139</v>
      </c>
      <c r="M21" s="359" t="s">
        <v>157</v>
      </c>
      <c r="O21" s="379">
        <v>59</v>
      </c>
      <c r="P21" s="396">
        <v>1</v>
      </c>
    </row>
    <row r="22" spans="1:24" x14ac:dyDescent="0.25">
      <c r="H22" s="359" t="s">
        <v>138</v>
      </c>
      <c r="I22" s="373">
        <v>1</v>
      </c>
      <c r="J22" s="373">
        <v>2</v>
      </c>
      <c r="K22" s="373">
        <v>1</v>
      </c>
      <c r="L22" s="370">
        <v>10</v>
      </c>
      <c r="M22" s="380" t="s">
        <v>134</v>
      </c>
      <c r="O22" s="381" t="s">
        <v>135</v>
      </c>
      <c r="P22" s="381" t="s">
        <v>136</v>
      </c>
    </row>
    <row r="23" spans="1:24" x14ac:dyDescent="0.25">
      <c r="F23" s="434" t="str">
        <f>IF($B$21="Yes","NB LT Treatment","")</f>
        <v/>
      </c>
      <c r="G23" s="434"/>
      <c r="O23" s="397"/>
      <c r="P23" s="397"/>
    </row>
    <row r="24" spans="1:24" x14ac:dyDescent="0.25">
      <c r="F24" s="432"/>
      <c r="G24" s="433"/>
      <c r="I24" s="359" t="s">
        <v>158</v>
      </c>
      <c r="J24" s="377">
        <v>30</v>
      </c>
      <c r="O24" s="397"/>
      <c r="P24" s="397"/>
    </row>
    <row r="25" spans="1:24" x14ac:dyDescent="0.25">
      <c r="F25" s="371">
        <f>IF(F24="",0,VLOOKUP(F24,$Y$12:$Z$14,2,FALSE))</f>
        <v>0</v>
      </c>
      <c r="O25" s="397"/>
      <c r="P25" s="397"/>
    </row>
    <row r="26" spans="1:24" x14ac:dyDescent="0.25">
      <c r="H26" s="359" t="s">
        <v>124</v>
      </c>
      <c r="I26" s="375" t="s">
        <v>125</v>
      </c>
      <c r="J26" s="392"/>
      <c r="K26" s="376"/>
      <c r="L26" s="359" t="s">
        <v>126</v>
      </c>
      <c r="M26" s="379">
        <v>0</v>
      </c>
      <c r="N26" s="359" t="s">
        <v>127</v>
      </c>
      <c r="O26" s="397"/>
      <c r="P26" s="397"/>
    </row>
    <row r="27" spans="1:24" x14ac:dyDescent="0.25">
      <c r="O27" s="395"/>
      <c r="P27" s="395"/>
    </row>
    <row r="28" spans="1:24" x14ac:dyDescent="0.25">
      <c r="J28" s="398">
        <v>1</v>
      </c>
    </row>
    <row r="30" spans="1:24" ht="14.4" x14ac:dyDescent="0.25">
      <c r="A30" s="435" t="s">
        <v>85</v>
      </c>
      <c r="B30" s="435"/>
      <c r="C30" s="435"/>
      <c r="D30" s="435"/>
      <c r="E30" s="435"/>
      <c r="F30" s="435"/>
      <c r="G30" s="435"/>
      <c r="H30" s="435"/>
    </row>
    <row r="31" spans="1:24" ht="14.4" x14ac:dyDescent="0.25">
      <c r="A31" s="436" t="s">
        <v>159</v>
      </c>
      <c r="B31" s="436"/>
      <c r="C31" s="436"/>
      <c r="D31" s="436"/>
      <c r="E31" s="436"/>
      <c r="F31" s="436"/>
      <c r="G31" s="436"/>
      <c r="H31" s="436"/>
    </row>
    <row r="32" spans="1:24" ht="14.4" x14ac:dyDescent="0.25">
      <c r="A32" s="388" t="s">
        <v>160</v>
      </c>
      <c r="B32" s="388"/>
      <c r="C32" s="388"/>
      <c r="D32" s="388"/>
      <c r="E32" s="389"/>
      <c r="F32" s="388"/>
      <c r="G32" s="388"/>
      <c r="H32" s="390"/>
    </row>
    <row r="33" spans="1:8" ht="14.4" x14ac:dyDescent="0.25">
      <c r="A33" s="24"/>
      <c r="B33" s="391"/>
      <c r="C33" s="391"/>
      <c r="D33" s="391"/>
      <c r="E33" s="391"/>
      <c r="F33" s="391"/>
      <c r="G33" s="391"/>
      <c r="H33" s="24"/>
    </row>
    <row r="34" spans="1:8" ht="12.75" customHeight="1" x14ac:dyDescent="0.25">
      <c r="A34" s="431" t="s">
        <v>161</v>
      </c>
      <c r="B34" s="431"/>
      <c r="C34" s="431"/>
      <c r="D34" s="431"/>
      <c r="E34" s="431"/>
      <c r="F34" s="431"/>
      <c r="G34" s="431"/>
      <c r="H34" s="431"/>
    </row>
    <row r="35" spans="1:8" ht="12.75" customHeight="1" x14ac:dyDescent="0.25">
      <c r="A35" s="431"/>
      <c r="B35" s="431"/>
      <c r="C35" s="431"/>
      <c r="D35" s="431"/>
      <c r="E35" s="431"/>
      <c r="F35" s="431"/>
      <c r="G35" s="431"/>
      <c r="H35" s="431"/>
    </row>
    <row r="36" spans="1:8" ht="12.75" customHeight="1" x14ac:dyDescent="0.25">
      <c r="A36" s="431"/>
      <c r="B36" s="431"/>
      <c r="C36" s="431"/>
      <c r="D36" s="431"/>
      <c r="E36" s="431"/>
      <c r="F36" s="431"/>
      <c r="G36" s="431"/>
      <c r="H36" s="431"/>
    </row>
    <row r="37" spans="1:8" ht="12.75" customHeight="1" x14ac:dyDescent="0.25">
      <c r="A37" s="431"/>
      <c r="B37" s="431"/>
      <c r="C37" s="431"/>
      <c r="D37" s="431"/>
      <c r="E37" s="431"/>
      <c r="F37" s="431"/>
      <c r="G37" s="431"/>
      <c r="H37" s="431"/>
    </row>
    <row r="38" spans="1:8" ht="12.75" customHeight="1" x14ac:dyDescent="0.25">
      <c r="A38" s="431"/>
      <c r="B38" s="431"/>
      <c r="C38" s="431"/>
      <c r="D38" s="431"/>
      <c r="E38" s="431"/>
      <c r="F38" s="431"/>
      <c r="G38" s="431"/>
      <c r="H38" s="431"/>
    </row>
    <row r="39" spans="1:8" ht="12.75" customHeight="1" x14ac:dyDescent="0.25">
      <c r="A39" s="431"/>
      <c r="B39" s="431"/>
      <c r="C39" s="431"/>
      <c r="D39" s="431"/>
      <c r="E39" s="431"/>
      <c r="F39" s="431"/>
      <c r="G39" s="431"/>
      <c r="H39" s="431"/>
    </row>
    <row r="40" spans="1:8" ht="12.75" customHeight="1" x14ac:dyDescent="0.25">
      <c r="A40" s="431"/>
      <c r="B40" s="431"/>
      <c r="C40" s="431"/>
      <c r="D40" s="431"/>
      <c r="E40" s="431"/>
      <c r="F40" s="431"/>
      <c r="G40" s="431"/>
      <c r="H40" s="431"/>
    </row>
    <row r="41" spans="1:8" ht="12.75" customHeight="1" x14ac:dyDescent="0.25">
      <c r="A41" s="431"/>
      <c r="B41" s="431"/>
      <c r="C41" s="431"/>
      <c r="D41" s="431"/>
      <c r="E41" s="431"/>
      <c r="F41" s="431"/>
      <c r="G41" s="431"/>
      <c r="H41" s="431"/>
    </row>
    <row r="42" spans="1:8" ht="12.75" customHeight="1" x14ac:dyDescent="0.25">
      <c r="A42" s="431"/>
      <c r="B42" s="431"/>
      <c r="C42" s="431"/>
      <c r="D42" s="431"/>
      <c r="E42" s="431"/>
      <c r="F42" s="431"/>
      <c r="G42" s="431"/>
      <c r="H42" s="431"/>
    </row>
    <row r="43" spans="1:8" x14ac:dyDescent="0.25">
      <c r="A43" s="431"/>
      <c r="B43" s="431"/>
      <c r="C43" s="431"/>
      <c r="D43" s="431"/>
      <c r="E43" s="431"/>
      <c r="F43" s="431"/>
      <c r="G43" s="431"/>
      <c r="H43" s="431"/>
    </row>
  </sheetData>
  <mergeCells count="11">
    <mergeCell ref="L7:M7"/>
    <mergeCell ref="F8:G8"/>
    <mergeCell ref="L8:M8"/>
    <mergeCell ref="F9:G9"/>
    <mergeCell ref="M18:N18"/>
    <mergeCell ref="A34:H43"/>
    <mergeCell ref="M19:N19"/>
    <mergeCell ref="F23:G23"/>
    <mergeCell ref="F24:G24"/>
    <mergeCell ref="A30:H30"/>
    <mergeCell ref="A31:H31"/>
  </mergeCells>
  <phoneticPr fontId="25" type="noConversion"/>
  <conditionalFormatting sqref="L7:M7">
    <cfRule type="containsText" dxfId="42" priority="11" stopIfTrue="1" operator="containsText" text="LT">
      <formula>NOT(ISERROR(SEARCH("LT",L7)))</formula>
    </cfRule>
  </conditionalFormatting>
  <conditionalFormatting sqref="F8:G8">
    <cfRule type="containsText" dxfId="41" priority="12" stopIfTrue="1" operator="containsText" text="LT">
      <formula>NOT(ISERROR(SEARCH("LT",F8)))</formula>
    </cfRule>
  </conditionalFormatting>
  <conditionalFormatting sqref="L8:M8">
    <cfRule type="containsText" dxfId="40" priority="5" stopIfTrue="1" operator="containsText" text="P">
      <formula>NOT(ISERROR(SEARCH("P",L8)))</formula>
    </cfRule>
    <cfRule type="containsText" dxfId="39" priority="2" stopIfTrue="1" operator="containsText" text="P">
      <formula>NOT(ISERROR(SEARCH("P",L8)))</formula>
    </cfRule>
    <cfRule type="containsText" dxfId="38" priority="1" stopIfTrue="1" operator="containsText" text="P">
      <formula>NOT(ISERROR(SEARCH("P",L8)))</formula>
    </cfRule>
  </conditionalFormatting>
  <conditionalFormatting sqref="F9:G9">
    <cfRule type="containsText" dxfId="37" priority="8" stopIfTrue="1" operator="containsText" text="P">
      <formula>NOT(ISERROR(SEARCH("P",F9)))</formula>
    </cfRule>
  </conditionalFormatting>
  <conditionalFormatting sqref="M18:N18">
    <cfRule type="containsText" dxfId="36" priority="9" stopIfTrue="1" operator="containsText" text="LT">
      <formula>NOT(ISERROR(SEARCH("LT",M18)))</formula>
    </cfRule>
  </conditionalFormatting>
  <conditionalFormatting sqref="M19:N19">
    <cfRule type="containsText" dxfId="35" priority="6" stopIfTrue="1" operator="containsText" text="P">
      <formula>NOT(ISERROR(SEARCH("P",M19)))</formula>
    </cfRule>
    <cfRule type="containsText" dxfId="34" priority="3" stopIfTrue="1" operator="containsText" text="P">
      <formula>NOT(ISERROR(SEARCH("P",M19)))</formula>
    </cfRule>
  </conditionalFormatting>
  <conditionalFormatting sqref="F23:G23">
    <cfRule type="containsText" dxfId="33" priority="10" stopIfTrue="1" operator="containsText" text="LT">
      <formula>NOT(ISERROR(SEARCH("LT",F23)))</formula>
    </cfRule>
  </conditionalFormatting>
  <conditionalFormatting sqref="F24:G24">
    <cfRule type="containsText" dxfId="32" priority="7" stopIfTrue="1" operator="containsText" text="P">
      <formula>NOT(ISERROR(SEARCH("P",F24)))</formula>
    </cfRule>
    <cfRule type="containsText" dxfId="31" priority="4" stopIfTrue="1" operator="containsText" text="P">
      <formula>NOT(ISERROR(SEARCH("P",F24)))</formula>
    </cfRule>
  </conditionalFormatting>
  <conditionalFormatting sqref="F8:G8 F23:G23 L7:M7 M18:N18">
    <cfRule type="containsText" dxfId="30" priority="22" stopIfTrue="1" operator="containsText" text="LT">
      <formula>NOT(ISERROR(SEARCH("LT",F7)))</formula>
    </cfRule>
  </conditionalFormatting>
  <conditionalFormatting sqref="F9:G9 F24:G24 M19:N19 L8:M8">
    <cfRule type="containsText" dxfId="29" priority="18" stopIfTrue="1" operator="containsText" text="P">
      <formula>NOT(ISERROR(SEARCH("P",F8)))</formula>
    </cfRule>
  </conditionalFormatting>
  <conditionalFormatting sqref="P9 V9">
    <cfRule type="containsText" dxfId="28" priority="23" stopIfTrue="1" operator="containsText" text="CS/RS">
      <formula>NOT(ISERROR(SEARCH("CS/RS",P9)))</formula>
    </cfRule>
    <cfRule type="containsText" dxfId="27" priority="24" stopIfTrue="1" operator="containsText" text="Webster">
      <formula>NOT(ISERROR(SEARCH("Webster",P9)))</formula>
    </cfRule>
  </conditionalFormatting>
  <dataValidations count="5">
    <dataValidation type="list" allowBlank="1" showInputMessage="1" showErrorMessage="1" sqref="L5 D16 P16 M22" xr:uid="{00000000-0002-0000-0100-000000000000}">
      <formula1>$X$10:$Y$10</formula1>
    </dataValidation>
    <dataValidation type="list" allowBlank="1" showInputMessage="1" showErrorMessage="1" sqref="V7" xr:uid="{00000000-0002-0000-0100-000001000000}">
      <formula1>$U$17:$U$18</formula1>
    </dataValidation>
    <dataValidation type="list" showInputMessage="1" showErrorMessage="1" sqref="L8:M8 F9:G9 M19:N19 F24:G24" xr:uid="{00000000-0002-0000-0100-000002000000}">
      <formula1>$Y$12:$Y$15</formula1>
    </dataValidation>
    <dataValidation type="list" showInputMessage="1" showErrorMessage="1" sqref="B21" xr:uid="{00000000-0002-0000-0100-000003000000}">
      <formula1>$X$10:$Y$10</formula1>
    </dataValidation>
    <dataValidation showInputMessage="1" showErrorMessage="1" sqref="C21:E21" xr:uid="{00000000-0002-0000-0100-000004000000}"/>
  </dataValidations>
  <pageMargins left="0.7" right="0.7" top="0.75" bottom="0.75" header="0.3" footer="0.3"/>
  <pageSetup orientation="portrait" horizontalDpi="1200" verticalDpi="12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68"/>
  <sheetViews>
    <sheetView topLeftCell="A19" zoomScale="70" zoomScaleNormal="70" workbookViewId="0">
      <selection activeCell="G17" sqref="G17"/>
    </sheetView>
  </sheetViews>
  <sheetFormatPr defaultColWidth="9.109375" defaultRowHeight="14.4" x14ac:dyDescent="0.25"/>
  <cols>
    <col min="1" max="1" width="27.33203125" style="18" bestFit="1" customWidth="1"/>
    <col min="2" max="2" width="21" style="18" customWidth="1"/>
    <col min="3" max="9" width="9.109375" style="18"/>
    <col min="10" max="10" width="31.88671875" style="18" bestFit="1" customWidth="1"/>
    <col min="11" max="11" width="11" style="18" bestFit="1" customWidth="1"/>
    <col min="12" max="12" width="9.6640625" style="18" customWidth="1"/>
    <col min="13" max="13" width="23.6640625" style="18" customWidth="1"/>
    <col min="14" max="14" width="5.77734375" style="18" bestFit="1" customWidth="1"/>
    <col min="15" max="15" width="14.88671875" style="18" customWidth="1"/>
    <col min="16" max="16" width="32.33203125" style="18" customWidth="1"/>
    <col min="17" max="35" width="9.109375" style="18" customWidth="1"/>
    <col min="36" max="16384" width="9.109375" style="18"/>
  </cols>
  <sheetData>
    <row r="1" spans="1:28" x14ac:dyDescent="0.25">
      <c r="B1" s="445" t="s">
        <v>162</v>
      </c>
      <c r="C1" s="445"/>
      <c r="D1" s="445"/>
      <c r="M1" s="438" t="s">
        <v>163</v>
      </c>
      <c r="N1" s="438"/>
      <c r="O1" s="430" t="s">
        <v>164</v>
      </c>
      <c r="P1" s="438"/>
      <c r="R1" t="s">
        <v>165</v>
      </c>
      <c r="S1" t="s">
        <v>166</v>
      </c>
      <c r="X1" t="s">
        <v>165</v>
      </c>
      <c r="Y1" t="s">
        <v>166</v>
      </c>
    </row>
    <row r="2" spans="1:28" x14ac:dyDescent="0.25">
      <c r="B2" s="330" t="s">
        <v>113</v>
      </c>
      <c r="C2" s="186" t="s">
        <v>13</v>
      </c>
      <c r="D2" s="186" t="s">
        <v>14</v>
      </c>
      <c r="E2" s="186" t="s">
        <v>18</v>
      </c>
      <c r="F2" s="186" t="s">
        <v>19</v>
      </c>
      <c r="G2" s="186" t="s">
        <v>3</v>
      </c>
      <c r="H2" s="186" t="s">
        <v>4</v>
      </c>
      <c r="I2" s="186" t="s">
        <v>8</v>
      </c>
      <c r="J2" s="186" t="s">
        <v>9</v>
      </c>
      <c r="K2" s="97" t="str">
        <f>IF(N17+N18&gt;=N15+N16,M1,O1)</f>
        <v>N-S Major</v>
      </c>
      <c r="L2" s="97"/>
      <c r="M2" s="18" t="s">
        <v>13</v>
      </c>
      <c r="N2" s="18">
        <v>7</v>
      </c>
      <c r="O2" s="18" t="s">
        <v>13</v>
      </c>
      <c r="P2" s="18">
        <v>5</v>
      </c>
      <c r="R2" s="18">
        <v>1</v>
      </c>
      <c r="S2" s="18">
        <v>50000</v>
      </c>
      <c r="X2" s="18">
        <v>1</v>
      </c>
      <c r="Y2" s="18">
        <v>150000</v>
      </c>
    </row>
    <row r="3" spans="1:28" x14ac:dyDescent="0.25">
      <c r="A3" s="18" t="s">
        <v>167</v>
      </c>
      <c r="B3" s="18" t="s">
        <v>168</v>
      </c>
      <c r="C3" s="240">
        <f>Sheet1!N4</f>
        <v>200</v>
      </c>
      <c r="D3" s="240">
        <f>IF(Sheet1!P5=0,Sheet1!O4+Sheet1!P4,Sheet1!O4)</f>
        <v>500</v>
      </c>
      <c r="E3" s="240">
        <f>IF(Sheet1!N4=Sheet1!S4,Sheet1!S4+1,Sheet1!S4)</f>
        <v>201</v>
      </c>
      <c r="F3" s="240">
        <f>IF(Sheet1!U5=0,Sheet1!T4+Sheet1!U4,Sheet1!T4)</f>
        <v>500</v>
      </c>
      <c r="G3" s="240">
        <f>Sheet1!D4+Sheet1!W4+Sheet1!Z4</f>
        <v>75</v>
      </c>
      <c r="H3" s="240">
        <f>IF(Sheet1!F5=0,Sheet1!E4+Sheet1!F4+Sheet1!X4+Sheet1!AA4,Sheet1!E4+Sheet1!X4+Sheet1!AA4)</f>
        <v>650</v>
      </c>
      <c r="I3" s="240">
        <f>IF(Sheet1!D4+Sheet1!W4+Sheet1!Z4=Sheet1!I4+Sheet1!AC4+Sheet1!AF4,Sheet1!I4+Sheet1!AC4+Sheet1!AF4+1,Sheet1!I4+Sheet1!AC4+Sheet1!AF4)</f>
        <v>100</v>
      </c>
      <c r="J3" s="240">
        <f>IF(Sheet1!K5=0,Sheet1!J4+Sheet1!K4+Sheet1!AD4+Sheet1!AG4,Sheet1!J4+Sheet1!AD4+Sheet1!AG4)</f>
        <v>850</v>
      </c>
      <c r="M3" s="18" t="s">
        <v>14</v>
      </c>
      <c r="N3" s="18">
        <v>4</v>
      </c>
      <c r="O3" s="18" t="s">
        <v>14</v>
      </c>
      <c r="P3" s="18">
        <v>2</v>
      </c>
      <c r="R3" s="18">
        <v>2</v>
      </c>
      <c r="S3" s="18">
        <v>90000</v>
      </c>
      <c r="X3" s="18">
        <v>2</v>
      </c>
      <c r="Y3" s="18">
        <v>300000</v>
      </c>
    </row>
    <row r="4" spans="1:28" x14ac:dyDescent="0.25">
      <c r="B4" s="330" t="s">
        <v>169</v>
      </c>
      <c r="C4" s="186">
        <f>IF($K$2="N-S Major",N2,P2)</f>
        <v>7</v>
      </c>
      <c r="D4" s="186">
        <f>IF($K$2="N-S Major",N3,P3)</f>
        <v>4</v>
      </c>
      <c r="E4" s="186">
        <f>IF($K$2="N-S Major",N4,P4)</f>
        <v>3</v>
      </c>
      <c r="F4" s="186">
        <f>IF($K$2="N-S Major",N5,P5)</f>
        <v>8</v>
      </c>
      <c r="G4" s="186">
        <f>IF($K$2="N-S Major",N6,P6)</f>
        <v>5</v>
      </c>
      <c r="H4" s="186">
        <f>IF($K$2="N-S Major",N7,P7)</f>
        <v>2</v>
      </c>
      <c r="I4" s="186">
        <f>IF($K$2="N-S Major",N8,P8)</f>
        <v>1</v>
      </c>
      <c r="J4" s="186">
        <f>IF($K$2="N-S Major",N9,P9)</f>
        <v>6</v>
      </c>
      <c r="M4" s="18" t="s">
        <v>18</v>
      </c>
      <c r="N4" s="18">
        <v>3</v>
      </c>
      <c r="O4" s="18" t="s">
        <v>18</v>
      </c>
      <c r="P4" s="18">
        <v>1</v>
      </c>
      <c r="R4" s="18">
        <v>3</v>
      </c>
      <c r="S4" s="18">
        <v>110000</v>
      </c>
      <c r="X4" s="18">
        <v>3</v>
      </c>
      <c r="Y4" s="18">
        <v>300000</v>
      </c>
    </row>
    <row r="5" spans="1:28" x14ac:dyDescent="0.25">
      <c r="B5" s="18" t="s">
        <v>170</v>
      </c>
      <c r="C5" s="190">
        <f>IF(C6=0,0,C4)</f>
        <v>7</v>
      </c>
      <c r="D5" s="190">
        <f>IF(AND(C6=0,D6=0),0,D4)</f>
        <v>4</v>
      </c>
      <c r="E5" s="190">
        <f>IF(E6=0,0,E4)</f>
        <v>3</v>
      </c>
      <c r="F5" s="190">
        <f>IF(AND(E6=0,F6=0),0,F4)</f>
        <v>8</v>
      </c>
      <c r="G5" s="190">
        <f>IF(G6=0,0,G4)</f>
        <v>5</v>
      </c>
      <c r="H5" s="190">
        <f>IF(AND(G6=0,H6=0),0,H4)</f>
        <v>2</v>
      </c>
      <c r="I5" s="190">
        <f>IF(I6=0,0,I4)</f>
        <v>1</v>
      </c>
      <c r="J5" s="190">
        <f>IF(AND(I6=0,J6=0),0,J4)</f>
        <v>6</v>
      </c>
      <c r="M5" s="18" t="s">
        <v>19</v>
      </c>
      <c r="N5" s="18">
        <v>8</v>
      </c>
      <c r="O5" s="421" t="s">
        <v>644</v>
      </c>
      <c r="P5" s="18">
        <v>6</v>
      </c>
    </row>
    <row r="6" spans="1:28" x14ac:dyDescent="0.25">
      <c r="A6" s="18">
        <v>1</v>
      </c>
      <c r="B6" s="330" t="s">
        <v>171</v>
      </c>
      <c r="C6" s="186">
        <f>Sheet1!N5</f>
        <v>1</v>
      </c>
      <c r="D6" s="186">
        <f>Sheet1!O5</f>
        <v>3</v>
      </c>
      <c r="E6" s="186">
        <f>Sheet1!S5</f>
        <v>1</v>
      </c>
      <c r="F6" s="186">
        <f>Sheet1!T5</f>
        <v>3</v>
      </c>
      <c r="G6" s="186">
        <f>Sheet1!D5+Sheet1!W5+Sheet1!Z5</f>
        <v>1</v>
      </c>
      <c r="H6" s="186">
        <f>Sheet1!E5+Sheet1!X5+Sheet1!AA5</f>
        <v>2</v>
      </c>
      <c r="I6" s="186">
        <f>Sheet1!I5+Sheet1!AC5+Sheet1!AF5</f>
        <v>1</v>
      </c>
      <c r="J6" s="186">
        <f>Sheet1!J5+Sheet1!AD5+Sheet1!AG5</f>
        <v>2</v>
      </c>
      <c r="M6" s="18" t="s">
        <v>3</v>
      </c>
      <c r="N6" s="18">
        <v>5</v>
      </c>
      <c r="O6" s="18" t="s">
        <v>3</v>
      </c>
      <c r="P6" s="18">
        <v>3</v>
      </c>
      <c r="S6" s="240" t="s">
        <v>13</v>
      </c>
      <c r="T6" s="240" t="s">
        <v>18</v>
      </c>
      <c r="U6" s="240" t="s">
        <v>3</v>
      </c>
      <c r="V6" s="240" t="s">
        <v>8</v>
      </c>
      <c r="Y6" s="240" t="s">
        <v>13</v>
      </c>
      <c r="Z6" s="240" t="s">
        <v>18</v>
      </c>
      <c r="AA6" s="240" t="s">
        <v>3</v>
      </c>
      <c r="AB6" s="240" t="s">
        <v>8</v>
      </c>
    </row>
    <row r="7" spans="1:28" x14ac:dyDescent="0.25">
      <c r="B7" s="18" t="s">
        <v>38</v>
      </c>
      <c r="C7" s="190">
        <f>Sheet1!N6</f>
        <v>0</v>
      </c>
      <c r="D7" s="190">
        <f>Sheet1!O6</f>
        <v>0</v>
      </c>
      <c r="E7" s="190">
        <f>Sheet1!S6</f>
        <v>0</v>
      </c>
      <c r="F7" s="190">
        <f>Sheet1!T6</f>
        <v>0</v>
      </c>
      <c r="G7" s="190">
        <f>Sheet1!D6</f>
        <v>0</v>
      </c>
      <c r="H7" s="190">
        <f>Sheet1!E6</f>
        <v>0</v>
      </c>
      <c r="I7" s="190">
        <f>Sheet1!I6</f>
        <v>0</v>
      </c>
      <c r="J7" s="190">
        <f>Sheet1!J6</f>
        <v>0</v>
      </c>
      <c r="M7" s="18" t="s">
        <v>4</v>
      </c>
      <c r="N7" s="18">
        <v>2</v>
      </c>
      <c r="O7" s="18" t="s">
        <v>4</v>
      </c>
      <c r="P7" s="18">
        <v>8</v>
      </c>
      <c r="R7" s="18" t="s">
        <v>172</v>
      </c>
      <c r="S7" s="240">
        <f>F6</f>
        <v>3</v>
      </c>
      <c r="T7" s="240">
        <f>D6</f>
        <v>3</v>
      </c>
      <c r="U7" s="240">
        <f>J6</f>
        <v>2</v>
      </c>
      <c r="V7" s="240">
        <f>H6</f>
        <v>2</v>
      </c>
      <c r="X7" s="18" t="s">
        <v>172</v>
      </c>
      <c r="Y7" s="240">
        <f t="shared" ref="Y7:AB8" si="0">S7</f>
        <v>3</v>
      </c>
      <c r="Z7" s="240">
        <f t="shared" si="0"/>
        <v>3</v>
      </c>
      <c r="AA7" s="240">
        <f t="shared" si="0"/>
        <v>2</v>
      </c>
      <c r="AB7" s="240">
        <f t="shared" si="0"/>
        <v>2</v>
      </c>
    </row>
    <row r="8" spans="1:28" x14ac:dyDescent="0.25">
      <c r="A8" s="18">
        <v>1</v>
      </c>
      <c r="B8" s="317" t="s">
        <v>173</v>
      </c>
      <c r="C8" s="330"/>
      <c r="D8" s="186">
        <f>Phasing!P6</f>
        <v>40</v>
      </c>
      <c r="E8" s="186"/>
      <c r="F8" s="186">
        <f>Phasing!R6</f>
        <v>40</v>
      </c>
      <c r="G8" s="186"/>
      <c r="H8" s="186">
        <f>Phasing!T6</f>
        <v>30</v>
      </c>
      <c r="I8" s="186"/>
      <c r="J8" s="186">
        <f>Phasing!V6</f>
        <v>30</v>
      </c>
      <c r="M8" s="18" t="s">
        <v>8</v>
      </c>
      <c r="N8" s="18">
        <v>1</v>
      </c>
      <c r="O8" s="18" t="s">
        <v>8</v>
      </c>
      <c r="P8" s="18">
        <v>7</v>
      </c>
      <c r="R8" s="18" t="s">
        <v>166</v>
      </c>
      <c r="S8" s="240">
        <f>C3*F3</f>
        <v>100000</v>
      </c>
      <c r="T8" s="240">
        <f>E3*D3</f>
        <v>100500</v>
      </c>
      <c r="U8" s="240">
        <f>G3*J3</f>
        <v>63750</v>
      </c>
      <c r="V8" s="240">
        <f>I3*H3</f>
        <v>65000</v>
      </c>
      <c r="X8" s="18" t="s">
        <v>166</v>
      </c>
      <c r="Y8" s="240">
        <f t="shared" si="0"/>
        <v>100000</v>
      </c>
      <c r="Z8" s="240">
        <f t="shared" si="0"/>
        <v>100500</v>
      </c>
      <c r="AA8" s="240">
        <f t="shared" si="0"/>
        <v>63750</v>
      </c>
      <c r="AB8" s="240">
        <f t="shared" si="0"/>
        <v>65000</v>
      </c>
    </row>
    <row r="9" spans="1:28" x14ac:dyDescent="0.25">
      <c r="C9" s="23"/>
      <c r="D9" s="23"/>
      <c r="E9" s="23"/>
      <c r="F9" s="23"/>
      <c r="H9" s="446" t="s">
        <v>174</v>
      </c>
      <c r="I9" s="446"/>
      <c r="J9" s="23">
        <f>IF(OR(SUM(C5:F5)=0,SUM(E5:H5)=0,SUM(G5:J5)=0,SUM(C5:D5,G5:H5)=0,SUM(C5:D5,I5:J5)=0,SUM(E5:F5,I5:J5)=0),1,0)</f>
        <v>0</v>
      </c>
      <c r="M9" s="18" t="s">
        <v>9</v>
      </c>
      <c r="N9" s="18">
        <v>6</v>
      </c>
      <c r="O9" s="18" t="s">
        <v>9</v>
      </c>
      <c r="P9" s="18">
        <v>4</v>
      </c>
      <c r="R9" s="240">
        <v>1</v>
      </c>
      <c r="S9" s="240">
        <f>IF(AND(S7=1,S8&gt;=50000),1,0)</f>
        <v>0</v>
      </c>
      <c r="T9" s="240">
        <f>IF(AND(T7=1,T8&gt;=50000),1,0)</f>
        <v>0</v>
      </c>
      <c r="U9" s="240">
        <f>IF(AND(U7=1,U8&gt;=50000),1,0)</f>
        <v>0</v>
      </c>
      <c r="V9" s="240">
        <f>IF(AND(V7=1,V8&gt;=50000),1,0)</f>
        <v>0</v>
      </c>
      <c r="X9" s="240">
        <v>1</v>
      </c>
      <c r="Y9" s="240">
        <f>IF(AND(Y7=1,Y8&gt;=150000),1,0)</f>
        <v>0</v>
      </c>
      <c r="Z9" s="240">
        <f>IF(AND(Z7=1,Z8&gt;=150000),1,0)</f>
        <v>0</v>
      </c>
      <c r="AA9" s="240">
        <f>IF(AND(AA7=1,AA8&gt;=150000),1,0)</f>
        <v>0</v>
      </c>
      <c r="AB9" s="240">
        <f>IF(AND(AB7=1,AB8&gt;=150000),1,0)</f>
        <v>0</v>
      </c>
    </row>
    <row r="10" spans="1:28" x14ac:dyDescent="0.25">
      <c r="B10" s="330" t="s">
        <v>175</v>
      </c>
      <c r="C10" s="186" t="s">
        <v>13</v>
      </c>
      <c r="D10" s="186"/>
      <c r="E10" s="186" t="s">
        <v>18</v>
      </c>
      <c r="F10" s="186"/>
      <c r="G10" s="186" t="s">
        <v>3</v>
      </c>
      <c r="H10" s="186"/>
      <c r="I10" s="186" t="s">
        <v>8</v>
      </c>
      <c r="J10" s="190"/>
      <c r="R10" s="240">
        <v>2</v>
      </c>
      <c r="S10" s="240">
        <f>IF(AND(S7=2,S8&gt;=90000),1,0)</f>
        <v>0</v>
      </c>
      <c r="T10" s="240">
        <f>IF(AND(T7=2,T8&gt;=90000),1,0)</f>
        <v>0</v>
      </c>
      <c r="U10" s="240">
        <f>IF(AND(U7=2,U8&gt;=90000),1,0)</f>
        <v>0</v>
      </c>
      <c r="V10" s="240">
        <f>IF(AND(V7=2,V8&gt;=90000),1,0)</f>
        <v>0</v>
      </c>
      <c r="X10" s="240">
        <v>2</v>
      </c>
      <c r="Y10" s="240">
        <f>IF(AND(Y7=2,Y8&gt;=300000),1,0)</f>
        <v>0</v>
      </c>
      <c r="Z10" s="240">
        <f>IF(AND(Z7=2,Z8&gt;=300000),1,0)</f>
        <v>0</v>
      </c>
      <c r="AA10" s="240">
        <f>IF(AND(AA7=2,AA8&gt;=300000),1,0)</f>
        <v>0</v>
      </c>
      <c r="AB10" s="240">
        <f>IF(AND(AB7=2,AB8&gt;=300000),1,0)</f>
        <v>0</v>
      </c>
    </row>
    <row r="11" spans="1:28" ht="15" customHeight="1" x14ac:dyDescent="0.25">
      <c r="A11" s="18" t="s">
        <v>176</v>
      </c>
      <c r="B11" s="18" t="s">
        <v>177</v>
      </c>
      <c r="C11" s="190">
        <f>IF(C6&gt;=2,1,0)</f>
        <v>0</v>
      </c>
      <c r="D11" s="190"/>
      <c r="E11" s="190">
        <f>IF(E6&gt;=2,1,0)</f>
        <v>0</v>
      </c>
      <c r="F11" s="190"/>
      <c r="G11" s="190">
        <f>IF(G6&gt;=2,1,0)</f>
        <v>0</v>
      </c>
      <c r="H11" s="190"/>
      <c r="I11" s="190">
        <f>IF(I6&gt;=2,1,0)</f>
        <v>0</v>
      </c>
      <c r="J11" s="447" t="s">
        <v>178</v>
      </c>
      <c r="M11" s="18" t="s">
        <v>15</v>
      </c>
      <c r="N11" s="18">
        <f>Sheet1!P4</f>
        <v>100</v>
      </c>
      <c r="O11" s="18">
        <v>1</v>
      </c>
      <c r="P11" t="s">
        <v>149</v>
      </c>
      <c r="R11" s="240">
        <v>3</v>
      </c>
      <c r="S11" s="240">
        <f>IF(AND(S7=3,S8&gt;=110000),1,0)</f>
        <v>0</v>
      </c>
      <c r="T11" s="240">
        <f>IF(AND(T7=3,T8&gt;=110000),1,0)</f>
        <v>0</v>
      </c>
      <c r="U11" s="240">
        <f>IF(AND(U7=3,U8&gt;=110000),1,0)</f>
        <v>0</v>
      </c>
      <c r="V11" s="240">
        <f>IF(AND(V7=3,V8&gt;=110000),1,0)</f>
        <v>0</v>
      </c>
      <c r="X11" s="240">
        <v>3</v>
      </c>
      <c r="Y11" s="240">
        <f>IF(AND(Y7=3,Y8&gt;=300000),1,0)</f>
        <v>0</v>
      </c>
      <c r="Z11" s="240">
        <f>IF(AND(Z7=3,Z8&gt;=300000),1,0)</f>
        <v>0</v>
      </c>
      <c r="AA11" s="240">
        <f>IF(AND(AA7=3,AA8&gt;=300000),1,0)</f>
        <v>0</v>
      </c>
      <c r="AB11" s="240">
        <f>IF(AND(AB7=3,AB8&gt;=300000),1,0)</f>
        <v>0</v>
      </c>
    </row>
    <row r="12" spans="1:28" x14ac:dyDescent="0.25">
      <c r="A12" s="18">
        <v>2</v>
      </c>
      <c r="B12" s="330" t="s">
        <v>172</v>
      </c>
      <c r="C12" s="186">
        <f>IF(F6&gt;=4,1,0)</f>
        <v>0</v>
      </c>
      <c r="D12" s="186"/>
      <c r="E12" s="186">
        <f>IF(D6&gt;=4,1,0)</f>
        <v>0</v>
      </c>
      <c r="F12" s="186"/>
      <c r="G12" s="186">
        <f>IF(J6&gt;=4,1,0)</f>
        <v>0</v>
      </c>
      <c r="H12" s="186"/>
      <c r="I12" s="186">
        <f>IF(H6&gt;=4,1,0)</f>
        <v>0</v>
      </c>
      <c r="J12" s="447"/>
      <c r="K12" s="86"/>
      <c r="L12" s="86"/>
      <c r="M12" s="24" t="s">
        <v>20</v>
      </c>
      <c r="N12" s="24">
        <f>Sheet1!U4</f>
        <v>120</v>
      </c>
      <c r="O12" s="24">
        <v>2</v>
      </c>
      <c r="P12" s="24" t="s">
        <v>151</v>
      </c>
      <c r="R12" s="5" t="s">
        <v>179</v>
      </c>
      <c r="S12" s="93">
        <f>MAX(S9:T11)</f>
        <v>0</v>
      </c>
      <c r="T12" s="93">
        <f>MAX(S9:T11)</f>
        <v>0</v>
      </c>
      <c r="U12" s="93">
        <f>MAX(U9:V11)</f>
        <v>0</v>
      </c>
      <c r="V12" s="93">
        <f>MAX(U9:V11)</f>
        <v>0</v>
      </c>
      <c r="X12" s="5" t="s">
        <v>179</v>
      </c>
      <c r="Y12" s="93">
        <f>MAX(Y9:Y11)</f>
        <v>0</v>
      </c>
      <c r="Z12" s="93">
        <f>MAX(Z9:Z11)</f>
        <v>0</v>
      </c>
      <c r="AA12" s="93">
        <f>MAX(AA9:AA11)</f>
        <v>0</v>
      </c>
      <c r="AB12" s="93">
        <f>MAX(AB9:AB11)</f>
        <v>0</v>
      </c>
    </row>
    <row r="13" spans="1:28" x14ac:dyDescent="0.25">
      <c r="A13" s="18">
        <v>2</v>
      </c>
      <c r="B13" s="18" t="s">
        <v>180</v>
      </c>
      <c r="C13" s="190">
        <f>IF(F8&gt;45,1,0)</f>
        <v>0</v>
      </c>
      <c r="D13" s="190"/>
      <c r="E13" s="190">
        <f>IF(D8&gt;45,1,0)</f>
        <v>0</v>
      </c>
      <c r="F13" s="190"/>
      <c r="G13" s="190">
        <f>IF(J8&gt;45,1,0)</f>
        <v>0</v>
      </c>
      <c r="H13" s="190"/>
      <c r="I13" s="190">
        <f>IF(H8&gt;45,1,0)</f>
        <v>0</v>
      </c>
      <c r="J13" s="447"/>
      <c r="K13" s="28"/>
      <c r="L13" s="28"/>
      <c r="M13" s="24" t="s">
        <v>5</v>
      </c>
      <c r="N13" s="24">
        <f>Sheet1!F4+Sheet1!Y4+Sheet1!AB4</f>
        <v>60</v>
      </c>
      <c r="O13" s="24">
        <v>3</v>
      </c>
      <c r="P13" s="24" t="s">
        <v>181</v>
      </c>
      <c r="R13" s="430" t="s">
        <v>182</v>
      </c>
      <c r="S13" s="430"/>
      <c r="T13" s="430"/>
      <c r="U13" s="430"/>
      <c r="V13" s="430"/>
    </row>
    <row r="14" spans="1:28" x14ac:dyDescent="0.25">
      <c r="A14" s="18">
        <v>2</v>
      </c>
      <c r="B14" s="330" t="s">
        <v>183</v>
      </c>
      <c r="C14" s="186">
        <f>IF(C3&gt;=240,1,0)</f>
        <v>0</v>
      </c>
      <c r="D14" s="186"/>
      <c r="E14" s="186">
        <f>IF(E3&gt;=240,1,0)</f>
        <v>0</v>
      </c>
      <c r="F14" s="186"/>
      <c r="G14" s="186">
        <f>IF(G3&gt;=240,1,0)</f>
        <v>0</v>
      </c>
      <c r="H14" s="186"/>
      <c r="I14" s="186">
        <f>IF(I3&gt;=240,1,0)</f>
        <v>0</v>
      </c>
      <c r="J14" s="447"/>
      <c r="K14" s="342"/>
      <c r="L14" s="342"/>
      <c r="M14" s="24" t="s">
        <v>10</v>
      </c>
      <c r="N14" s="24">
        <f>Sheet1!K4+Sheet1!AE4+Sheet1!AH4</f>
        <v>100</v>
      </c>
      <c r="O14" s="236">
        <v>2</v>
      </c>
      <c r="P14" s="343" t="s">
        <v>184</v>
      </c>
      <c r="R14" s="2"/>
      <c r="S14" s="2"/>
      <c r="T14" s="2"/>
      <c r="U14" s="2"/>
      <c r="V14" s="2"/>
    </row>
    <row r="15" spans="1:28" x14ac:dyDescent="0.25">
      <c r="A15" s="18" t="s">
        <v>185</v>
      </c>
      <c r="B15" s="86" t="s">
        <v>186</v>
      </c>
      <c r="C15" s="190">
        <f>Y12</f>
        <v>0</v>
      </c>
      <c r="D15" s="190"/>
      <c r="E15" s="190">
        <f>Z12</f>
        <v>0</v>
      </c>
      <c r="F15" s="190"/>
      <c r="G15" s="190">
        <f>AA12</f>
        <v>0</v>
      </c>
      <c r="H15" s="190"/>
      <c r="I15" s="190">
        <f>AB12</f>
        <v>0</v>
      </c>
      <c r="J15" s="447"/>
      <c r="K15" s="342"/>
      <c r="L15" s="444" t="s">
        <v>187</v>
      </c>
      <c r="M15" s="24" t="s">
        <v>188</v>
      </c>
      <c r="N15" s="24">
        <f>C3+D3+N11</f>
        <v>800</v>
      </c>
      <c r="O15" s="24"/>
      <c r="P15" s="24"/>
      <c r="R15" s="2"/>
      <c r="S15" s="2"/>
      <c r="T15" s="2"/>
      <c r="U15" s="2"/>
      <c r="V15" s="2"/>
    </row>
    <row r="16" spans="1:28" x14ac:dyDescent="0.25">
      <c r="B16" s="317" t="s">
        <v>189</v>
      </c>
      <c r="C16" s="186">
        <f>IF(E3+F3=0,0,IF(AND(C14=1,SUM(C11:C13)=0),3,MAX(C11:C13)))</f>
        <v>0</v>
      </c>
      <c r="D16" s="186"/>
      <c r="E16" s="186">
        <f>IF(C3+D3=0,0,IF(AND(E14=1,SUM(E11:E13)=0),3,MAX(E11:E13)))</f>
        <v>0</v>
      </c>
      <c r="F16" s="186"/>
      <c r="G16" s="186">
        <f>IF(I3+J3=0,0,IF(AND(G14=1,SUM(G11:G13)=0),3,MAX(G11:G13)))</f>
        <v>0</v>
      </c>
      <c r="H16" s="186"/>
      <c r="I16" s="186">
        <f>IF(G3+H3=0,0,IF(AND(I14=1,SUM(I11:I13)=0),3,MAX(I11:I13)))</f>
        <v>0</v>
      </c>
      <c r="J16" s="341"/>
      <c r="K16" s="28"/>
      <c r="L16" s="444"/>
      <c r="M16" s="24" t="s">
        <v>190</v>
      </c>
      <c r="N16" s="24">
        <f>E3+F3+N12</f>
        <v>821</v>
      </c>
      <c r="O16" s="24"/>
      <c r="P16" s="24"/>
      <c r="Q16" s="442" t="s">
        <v>191</v>
      </c>
      <c r="R16" s="443"/>
      <c r="S16" s="443"/>
      <c r="T16" s="443"/>
      <c r="U16" s="443"/>
      <c r="V16" s="2"/>
    </row>
    <row r="17" spans="1:25" x14ac:dyDescent="0.25">
      <c r="B17" s="331" t="s">
        <v>166</v>
      </c>
      <c r="C17" s="332">
        <f>IF(OR(E16=3,S12=1),3,2)</f>
        <v>2</v>
      </c>
      <c r="D17" s="332"/>
      <c r="E17" s="332">
        <f>IF(OR(C16=3,T12=1),3,2)</f>
        <v>2</v>
      </c>
      <c r="F17" s="332"/>
      <c r="G17" s="332">
        <f>IF(OR(I16=3,U12=1),3,2)</f>
        <v>2</v>
      </c>
      <c r="H17" s="332"/>
      <c r="I17" s="332">
        <f>IF(OR(G16=3,V12=1),3,2)</f>
        <v>2</v>
      </c>
      <c r="J17" s="344" t="s">
        <v>192</v>
      </c>
      <c r="K17" s="89"/>
      <c r="L17" s="444"/>
      <c r="M17" s="31" t="s">
        <v>193</v>
      </c>
      <c r="N17" s="31">
        <f>G3+H3+N13</f>
        <v>785</v>
      </c>
      <c r="O17" s="84"/>
      <c r="P17" s="24"/>
      <c r="Q17" s="31"/>
      <c r="R17" s="440" t="s">
        <v>194</v>
      </c>
      <c r="S17" s="440"/>
      <c r="T17" s="440"/>
      <c r="U17" s="440"/>
      <c r="V17" s="31"/>
      <c r="W17" s="31"/>
    </row>
    <row r="18" spans="1:25" x14ac:dyDescent="0.25">
      <c r="A18" s="18" t="s">
        <v>195</v>
      </c>
      <c r="B18" s="333" t="s">
        <v>196</v>
      </c>
      <c r="C18" s="334">
        <f>IF(OR(F7&gt;0,D7&gt;0),2,0)</f>
        <v>0</v>
      </c>
      <c r="D18" s="334"/>
      <c r="E18" s="334">
        <f>IF(OR(D7&gt;0,F7&gt;0),2,0)</f>
        <v>0</v>
      </c>
      <c r="F18" s="334"/>
      <c r="G18" s="334">
        <f>IF(OR(J7&gt;0,H7&gt;0),2,0)</f>
        <v>0</v>
      </c>
      <c r="H18" s="334"/>
      <c r="I18" s="334">
        <f>IF(OR(H7&gt;0,J7&gt;0),2,0)</f>
        <v>0</v>
      </c>
      <c r="J18" s="345" t="s">
        <v>197</v>
      </c>
      <c r="K18" s="88"/>
      <c r="L18" s="444"/>
      <c r="M18" s="31" t="s">
        <v>198</v>
      </c>
      <c r="N18" s="31">
        <f>I3+J3+N14</f>
        <v>1050</v>
      </c>
      <c r="O18" s="346"/>
      <c r="P18" s="24"/>
      <c r="Q18" t="s">
        <v>199</v>
      </c>
      <c r="R18" s="353">
        <v>1</v>
      </c>
      <c r="S18" s="354">
        <v>2</v>
      </c>
      <c r="T18" s="240">
        <v>3</v>
      </c>
      <c r="U18" s="240">
        <v>4</v>
      </c>
      <c r="W18" s="31"/>
    </row>
    <row r="19" spans="1:25" s="328" customFormat="1" x14ac:dyDescent="0.25">
      <c r="B19" s="335" t="s">
        <v>170</v>
      </c>
      <c r="C19" s="297">
        <f>IF(F5=0,2,0)</f>
        <v>0</v>
      </c>
      <c r="D19" s="297"/>
      <c r="E19" s="297">
        <f>IF(D5=0,2,0)</f>
        <v>0</v>
      </c>
      <c r="F19" s="297"/>
      <c r="G19" s="297">
        <f>IF(J5=0,2,0)</f>
        <v>0</v>
      </c>
      <c r="H19" s="297"/>
      <c r="I19" s="297">
        <f>IF(H5=0,2,0)</f>
        <v>0</v>
      </c>
      <c r="J19" s="345"/>
      <c r="K19" s="88"/>
      <c r="L19" s="88"/>
      <c r="M19" s="338"/>
      <c r="N19" s="338"/>
      <c r="O19" s="42"/>
      <c r="P19" s="140"/>
      <c r="Q19" s="239" t="s">
        <v>200</v>
      </c>
      <c r="R19" s="192">
        <v>5</v>
      </c>
      <c r="S19" s="216">
        <v>6</v>
      </c>
      <c r="T19" s="192">
        <v>7</v>
      </c>
      <c r="U19" s="192">
        <v>8</v>
      </c>
      <c r="W19" s="338"/>
    </row>
    <row r="20" spans="1:25" x14ac:dyDescent="0.25">
      <c r="B20" s="329"/>
      <c r="C20" s="23"/>
      <c r="D20" s="23"/>
      <c r="E20" s="23"/>
      <c r="F20" s="23"/>
      <c r="G20" s="23"/>
      <c r="H20" s="23"/>
      <c r="I20" s="23"/>
      <c r="J20" s="338"/>
      <c r="K20" s="31"/>
      <c r="L20" s="31"/>
      <c r="M20" s="31"/>
      <c r="N20" s="31"/>
      <c r="O20" s="346"/>
      <c r="P20" s="24"/>
      <c r="W20" s="31"/>
    </row>
    <row r="21" spans="1:25" x14ac:dyDescent="0.25">
      <c r="A21" s="18" t="s">
        <v>201</v>
      </c>
      <c r="B21" s="336" t="s">
        <v>202</v>
      </c>
      <c r="C21" s="186">
        <f>IF(AND(C16=1,C18=0),1,MAX(C16:C18))</f>
        <v>2</v>
      </c>
      <c r="D21" s="186"/>
      <c r="E21" s="186">
        <f>IF(AND(E16=1,E18=0),1,MAX(E16:E18))</f>
        <v>2</v>
      </c>
      <c r="F21" s="186"/>
      <c r="G21" s="186">
        <f>IF(AND(G16=1,G18=0),1,MAX(G16:G18))</f>
        <v>2</v>
      </c>
      <c r="H21" s="186"/>
      <c r="I21" s="186">
        <f>IF(AND(I16=1,I18=0),1,MAX(I16:I18))</f>
        <v>2</v>
      </c>
      <c r="J21" s="89"/>
      <c r="K21" s="31"/>
      <c r="L21" s="346" t="s">
        <v>13</v>
      </c>
      <c r="M21" s="346" t="s">
        <v>18</v>
      </c>
      <c r="N21" s="346" t="s">
        <v>3</v>
      </c>
      <c r="O21" s="346" t="s">
        <v>8</v>
      </c>
      <c r="P21" s="24"/>
      <c r="R21" s="430" t="s">
        <v>203</v>
      </c>
      <c r="S21" s="430"/>
      <c r="T21" s="355"/>
      <c r="U21" s="355"/>
      <c r="W21" s="31"/>
    </row>
    <row r="22" spans="1:25" x14ac:dyDescent="0.25">
      <c r="B22" s="239" t="s">
        <v>204</v>
      </c>
      <c r="C22" s="190">
        <f>IF('Input sheet'!$B$21="Yes",'Phase designation'!L23,'Phase designation'!L22)</f>
        <v>2</v>
      </c>
      <c r="D22" s="190"/>
      <c r="E22" s="190">
        <f>IF('Input sheet'!$B$21="Yes",'Phase designation'!M23,'Phase designation'!M22)</f>
        <v>2</v>
      </c>
      <c r="F22" s="190"/>
      <c r="G22" s="190">
        <f>IF('Input sheet'!$B$21="Yes",'Phase designation'!N23,'Phase designation'!N22)</f>
        <v>2</v>
      </c>
      <c r="H22" s="190"/>
      <c r="I22" s="190">
        <f>IF('Input sheet'!$B$21="Yes",'Phase designation'!O23,'Phase designation'!O22)</f>
        <v>2</v>
      </c>
      <c r="J22" s="89"/>
      <c r="K22" s="31" t="s">
        <v>205</v>
      </c>
      <c r="L22" s="346">
        <f>IF(C19=0,C21,C19)</f>
        <v>2</v>
      </c>
      <c r="M22" s="346">
        <f>IF(E19=0,E21,E19)</f>
        <v>2</v>
      </c>
      <c r="N22" s="346">
        <f>IF(G19=0,G21,G19)</f>
        <v>2</v>
      </c>
      <c r="O22" s="346">
        <f>IF(I19=0,I21,I19)</f>
        <v>2</v>
      </c>
      <c r="P22" s="24"/>
      <c r="Q22" t="s">
        <v>199</v>
      </c>
      <c r="R22" s="354">
        <v>2</v>
      </c>
      <c r="S22" s="353">
        <v>4</v>
      </c>
      <c r="T22" s="240"/>
      <c r="U22" s="240"/>
      <c r="W22" s="31"/>
    </row>
    <row r="23" spans="1:25" s="329" customFormat="1" x14ac:dyDescent="0.25">
      <c r="B23" s="337"/>
      <c r="C23" s="337" t="str">
        <f>LOOKUP(C22,$O$11:$O$14,$P$11:$P$14)</f>
        <v>Permitted</v>
      </c>
      <c r="D23" s="337"/>
      <c r="E23" s="337" t="str">
        <f>LOOKUP(E22,$O$11:$O$14,$P$11:$P$14)</f>
        <v>Permitted</v>
      </c>
      <c r="F23" s="337"/>
      <c r="G23" s="337" t="str">
        <f>LOOKUP(G22,$O$11:$O$14,$P$11:$P$14)</f>
        <v>Permitted</v>
      </c>
      <c r="H23" s="337"/>
      <c r="I23" s="337" t="str">
        <f>LOOKUP(I22,$O$11:$O$14,$P$11:$P$14)</f>
        <v>Permitted</v>
      </c>
      <c r="J23" s="338"/>
      <c r="K23" s="347" t="s">
        <v>206</v>
      </c>
      <c r="L23" s="348">
        <f>IF('Input sheet'!F10=0,L22,'Input sheet'!F10)</f>
        <v>2</v>
      </c>
      <c r="M23" s="348">
        <f>IF('Input sheet'!M20=0,M22,'Input sheet'!M20)</f>
        <v>2</v>
      </c>
      <c r="N23" s="348">
        <f>IF('Input sheet'!F25=0,N22,'Input sheet'!F25)</f>
        <v>2</v>
      </c>
      <c r="O23" s="348">
        <f>IF('Input sheet'!L9=0,O22,'Input sheet'!L9)</f>
        <v>2</v>
      </c>
      <c r="P23" s="27"/>
      <c r="Q23" s="239" t="s">
        <v>200</v>
      </c>
      <c r="R23" s="216">
        <v>6</v>
      </c>
      <c r="S23" s="192">
        <v>8</v>
      </c>
      <c r="T23" s="192"/>
      <c r="U23" s="192"/>
      <c r="W23" s="31"/>
    </row>
    <row r="24" spans="1:25" s="329" customFormat="1" x14ac:dyDescent="0.25">
      <c r="C24" s="328"/>
      <c r="D24" s="338"/>
      <c r="E24" s="338"/>
      <c r="F24" s="155"/>
      <c r="G24" s="338"/>
      <c r="H24" s="338"/>
      <c r="I24" s="338"/>
      <c r="J24" s="338"/>
      <c r="K24" s="347"/>
      <c r="L24" s="347"/>
      <c r="M24" s="38"/>
      <c r="N24" s="38"/>
      <c r="O24" s="348"/>
      <c r="P24" s="140"/>
      <c r="W24" s="31"/>
    </row>
    <row r="25" spans="1:25" x14ac:dyDescent="0.25">
      <c r="C25" s="23"/>
      <c r="D25" s="23"/>
      <c r="E25" s="23"/>
      <c r="F25" s="23"/>
      <c r="G25" s="23"/>
      <c r="H25" s="23"/>
      <c r="I25" s="23"/>
      <c r="J25" s="23"/>
      <c r="M25" s="38"/>
      <c r="N25" s="38"/>
      <c r="O25" s="346"/>
      <c r="P25" s="88"/>
      <c r="R25" s="430" t="s">
        <v>207</v>
      </c>
      <c r="S25" s="430"/>
      <c r="T25" s="430"/>
      <c r="W25" s="347"/>
    </row>
    <row r="26" spans="1:25" x14ac:dyDescent="0.25">
      <c r="B26" s="319" t="s">
        <v>113</v>
      </c>
      <c r="C26" s="220" t="s">
        <v>13</v>
      </c>
      <c r="D26" s="220" t="s">
        <v>14</v>
      </c>
      <c r="E26" s="220" t="s">
        <v>18</v>
      </c>
      <c r="F26" s="220" t="s">
        <v>19</v>
      </c>
      <c r="G26" s="220" t="s">
        <v>3</v>
      </c>
      <c r="H26" s="220" t="s">
        <v>4</v>
      </c>
      <c r="I26" s="220" t="s">
        <v>8</v>
      </c>
      <c r="J26" s="220" t="s">
        <v>9</v>
      </c>
      <c r="M26" s="38"/>
      <c r="N26" s="38"/>
      <c r="O26" s="346"/>
      <c r="P26" s="140"/>
      <c r="Q26" t="s">
        <v>199</v>
      </c>
      <c r="R26" s="354">
        <v>2</v>
      </c>
      <c r="S26" s="356">
        <v>4</v>
      </c>
      <c r="V26" t="s">
        <v>199</v>
      </c>
      <c r="W26" s="357" t="str">
        <f>IF(AND(E22&lt;&gt;4,G22=4),R26,"")</f>
        <v/>
      </c>
      <c r="X26" s="356" t="str">
        <f>IF(AND(E22&lt;&gt;4,G22=4),S26,"")</f>
        <v/>
      </c>
      <c r="Y26" s="240"/>
    </row>
    <row r="27" spans="1:25" x14ac:dyDescent="0.25">
      <c r="A27" s="18" t="s">
        <v>208</v>
      </c>
      <c r="B27" s="7" t="s">
        <v>209</v>
      </c>
      <c r="C27" s="100">
        <f>IF(OR(C22=1,C22=3),C5,0)</f>
        <v>0</v>
      </c>
      <c r="D27" s="100">
        <f>IF(AND(D5=0,$J$9=1),D4,D5)</f>
        <v>4</v>
      </c>
      <c r="E27" s="100">
        <f>IF(OR(E22=1,E22=3),E5,0)</f>
        <v>0</v>
      </c>
      <c r="F27" s="100">
        <f>IF(AND(F5=0,$J$9=1),F4,F5)</f>
        <v>8</v>
      </c>
      <c r="G27" s="100">
        <f>IF(OR(G22=1,G22=3),G5,0)</f>
        <v>0</v>
      </c>
      <c r="H27" s="100">
        <f>IF(AND(H5=0,$J$9=1),H4,H5)</f>
        <v>2</v>
      </c>
      <c r="I27" s="100">
        <f>IF(OR(I22=1,I22=3),I5,0)</f>
        <v>0</v>
      </c>
      <c r="J27" s="100">
        <f>IF(AND(J5=0,$J$9=1),J4,J5)</f>
        <v>6</v>
      </c>
      <c r="M27" s="38"/>
      <c r="N27" s="38"/>
      <c r="O27" s="346"/>
      <c r="P27" s="140"/>
      <c r="Q27" s="239" t="s">
        <v>200</v>
      </c>
      <c r="R27" s="216">
        <v>6</v>
      </c>
      <c r="S27" s="358"/>
      <c r="T27" s="240">
        <v>8</v>
      </c>
      <c r="V27" s="239" t="s">
        <v>200</v>
      </c>
      <c r="W27" s="357" t="str">
        <f>IF(AND(E22&lt;&gt;4,G22=4),R27,"")</f>
        <v/>
      </c>
      <c r="X27" s="356"/>
      <c r="Y27" s="240" t="str">
        <f>IF(AND(E22&lt;&gt;4,G22=4),T27,"")</f>
        <v/>
      </c>
    </row>
    <row r="28" spans="1:25" x14ac:dyDescent="0.25">
      <c r="B28" s="319" t="s">
        <v>210</v>
      </c>
      <c r="C28" s="220">
        <f>IF(OR(C22=2,C22=3,C22=4),D27,0)</f>
        <v>4</v>
      </c>
      <c r="D28" s="220"/>
      <c r="E28" s="220">
        <f>IF(OR(E22=2,E22=3,E22=4),F27,0)</f>
        <v>8</v>
      </c>
      <c r="F28" s="220"/>
      <c r="G28" s="220">
        <f>IF(OR(G22=2,G22=3,G22=4),H27,0)</f>
        <v>2</v>
      </c>
      <c r="H28" s="220"/>
      <c r="I28" s="220">
        <f>IF(OR(I22=2,I22=3,I22=4),J27,0)</f>
        <v>6</v>
      </c>
      <c r="J28" s="220"/>
      <c r="M28" s="347"/>
      <c r="N28" s="347"/>
      <c r="O28" s="346"/>
      <c r="P28" s="40"/>
      <c r="W28" s="86"/>
    </row>
    <row r="29" spans="1:25" x14ac:dyDescent="0.25">
      <c r="M29" s="348"/>
      <c r="N29" s="348"/>
      <c r="O29" s="346"/>
      <c r="P29" s="88"/>
      <c r="Q29" t="s">
        <v>199</v>
      </c>
      <c r="R29" s="354">
        <v>2</v>
      </c>
      <c r="S29" s="356"/>
      <c r="T29" s="240">
        <v>4</v>
      </c>
      <c r="V29" t="s">
        <v>199</v>
      </c>
      <c r="W29" s="354" t="str">
        <f>IF(AND(E22=4,G22&lt;&gt;4),R29,"")</f>
        <v/>
      </c>
      <c r="X29" s="356"/>
      <c r="Y29" s="240" t="str">
        <f>IF(AND(E22=4,G22&lt;&gt;4),T29,"")</f>
        <v/>
      </c>
    </row>
    <row r="30" spans="1:25" x14ac:dyDescent="0.25">
      <c r="E30" s="93">
        <f>J27</f>
        <v>6</v>
      </c>
      <c r="F30" s="93" t="str">
        <f>I27&amp;"  "&amp;I28</f>
        <v>0  6</v>
      </c>
      <c r="M30" s="89"/>
      <c r="N30" s="89"/>
      <c r="O30" s="41"/>
      <c r="P30" s="24"/>
      <c r="Q30" s="239" t="s">
        <v>200</v>
      </c>
      <c r="R30" s="216"/>
      <c r="S30" s="358">
        <v>6</v>
      </c>
      <c r="T30" s="240">
        <v>8</v>
      </c>
      <c r="V30" s="239" t="s">
        <v>200</v>
      </c>
      <c r="W30" s="216"/>
      <c r="X30" s="358" t="str">
        <f>IF(AND(E22=4,G22&lt;&gt;4),S30,"")</f>
        <v/>
      </c>
      <c r="Y30" s="240" t="str">
        <f>IF(AND(E22=4,G22&lt;&gt;4),T30,"")</f>
        <v/>
      </c>
    </row>
    <row r="31" spans="1:25" x14ac:dyDescent="0.25">
      <c r="M31" s="349"/>
      <c r="N31" s="349"/>
      <c r="O31" s="42"/>
      <c r="P31" s="24"/>
    </row>
    <row r="32" spans="1:25" x14ac:dyDescent="0.25">
      <c r="I32" s="84" t="s">
        <v>211</v>
      </c>
      <c r="M32" s="86"/>
      <c r="N32" s="86"/>
      <c r="O32" s="86"/>
      <c r="P32" s="24"/>
      <c r="Q32" t="s">
        <v>199</v>
      </c>
      <c r="R32" s="354">
        <v>2</v>
      </c>
      <c r="S32" s="356"/>
      <c r="T32" s="356">
        <v>4</v>
      </c>
      <c r="V32" t="s">
        <v>199</v>
      </c>
      <c r="W32" s="354" t="str">
        <f>IF(AND(E22=4,G22=4),R32,"")</f>
        <v/>
      </c>
      <c r="X32" s="356"/>
      <c r="Y32" s="356" t="str">
        <f>IF(AND(E22=4,G22=4),T32,"")</f>
        <v/>
      </c>
    </row>
    <row r="33" spans="1:34" x14ac:dyDescent="0.25">
      <c r="K33" s="89"/>
      <c r="L33" s="89"/>
      <c r="M33" s="350"/>
      <c r="N33" s="350"/>
      <c r="O33" s="350"/>
      <c r="P33" s="350"/>
      <c r="Q33" s="239" t="s">
        <v>200</v>
      </c>
      <c r="R33" s="216"/>
      <c r="S33" s="358">
        <v>6</v>
      </c>
      <c r="T33" s="356"/>
      <c r="U33" s="240">
        <v>8</v>
      </c>
      <c r="V33" s="239" t="s">
        <v>200</v>
      </c>
      <c r="W33" s="216"/>
      <c r="X33" s="358" t="str">
        <f>IF(AND(E22=4,G22=4),S33,"")</f>
        <v/>
      </c>
      <c r="Y33" s="356"/>
      <c r="Z33" s="240" t="str">
        <f>IF(AND(E22=4,G22=4),U33,"")</f>
        <v/>
      </c>
    </row>
    <row r="34" spans="1:34" x14ac:dyDescent="0.25">
      <c r="A34" s="18" t="s">
        <v>212</v>
      </c>
      <c r="K34" s="235"/>
      <c r="L34" s="439" t="s">
        <v>213</v>
      </c>
      <c r="M34" s="439"/>
      <c r="N34" s="439"/>
      <c r="O34" s="439"/>
      <c r="P34" s="139"/>
    </row>
    <row r="35" spans="1:34" x14ac:dyDescent="0.25">
      <c r="C35" s="94" t="str">
        <f>C27&amp;"  "&amp;C28</f>
        <v>0  4</v>
      </c>
      <c r="H35" s="125">
        <f>F27</f>
        <v>8</v>
      </c>
      <c r="K35" s="236"/>
      <c r="L35" s="237" t="str">
        <f>IF($V$41=0,"b","")</f>
        <v/>
      </c>
      <c r="M35" s="237" t="str">
        <f>IF(OR($V$41=0,$V$41=1),"b","")</f>
        <v>b</v>
      </c>
      <c r="N35" s="237" t="str">
        <f>IF($V$41=0,"b","")</f>
        <v/>
      </c>
      <c r="O35" s="351"/>
      <c r="P35" s="57"/>
      <c r="Q35" s="329"/>
      <c r="R35" s="329"/>
    </row>
    <row r="36" spans="1:34" x14ac:dyDescent="0.25">
      <c r="D36" s="24"/>
      <c r="E36" s="24"/>
      <c r="F36" s="24"/>
      <c r="G36" s="24"/>
      <c r="H36" s="51"/>
      <c r="I36" s="86"/>
      <c r="K36" s="162" t="s">
        <v>199</v>
      </c>
      <c r="L36" s="352">
        <f>IF($V$41=1,R41,R45)</f>
        <v>0</v>
      </c>
      <c r="M36" s="352">
        <f t="shared" ref="L36:O37" si="1">IF($V$41=1,S41,S45)</f>
        <v>2</v>
      </c>
      <c r="N36" s="352">
        <f t="shared" si="1"/>
        <v>0</v>
      </c>
      <c r="O36" s="352">
        <f t="shared" si="1"/>
        <v>4</v>
      </c>
      <c r="P36" s="57"/>
      <c r="Q36" s="329"/>
      <c r="R36" s="329"/>
      <c r="V36" t="s">
        <v>199</v>
      </c>
      <c r="W36" s="354">
        <f t="shared" ref="W36:Z37" si="2">MAX(W26,W29,W32)</f>
        <v>0</v>
      </c>
      <c r="X36" s="354">
        <f t="shared" si="2"/>
        <v>0</v>
      </c>
      <c r="Y36" s="354">
        <f t="shared" si="2"/>
        <v>0</v>
      </c>
      <c r="Z36" s="354">
        <f t="shared" si="2"/>
        <v>0</v>
      </c>
    </row>
    <row r="37" spans="1:34" x14ac:dyDescent="0.25">
      <c r="C37" s="97">
        <f>D27</f>
        <v>4</v>
      </c>
      <c r="D37" s="27"/>
      <c r="E37" s="24"/>
      <c r="F37" s="24"/>
      <c r="G37" s="24"/>
      <c r="H37" s="126" t="str">
        <f>E27&amp;"  "&amp;E28</f>
        <v>0  8</v>
      </c>
      <c r="I37" s="86"/>
      <c r="K37" s="238" t="s">
        <v>200</v>
      </c>
      <c r="L37" s="352">
        <f t="shared" si="1"/>
        <v>0</v>
      </c>
      <c r="M37" s="352">
        <f t="shared" si="1"/>
        <v>6</v>
      </c>
      <c r="N37" s="352">
        <f t="shared" si="1"/>
        <v>0</v>
      </c>
      <c r="O37" s="352">
        <f t="shared" si="1"/>
        <v>8</v>
      </c>
      <c r="P37" s="23"/>
      <c r="Q37" s="329"/>
      <c r="R37" s="329"/>
      <c r="V37" s="239" t="s">
        <v>200</v>
      </c>
      <c r="W37" s="354">
        <f t="shared" si="2"/>
        <v>0</v>
      </c>
      <c r="X37" s="354">
        <f t="shared" si="2"/>
        <v>0</v>
      </c>
      <c r="Y37" s="354">
        <f t="shared" si="2"/>
        <v>0</v>
      </c>
      <c r="Z37" s="354">
        <f t="shared" si="2"/>
        <v>0</v>
      </c>
    </row>
    <row r="38" spans="1:34" x14ac:dyDescent="0.25">
      <c r="A38" s="18">
        <v>7</v>
      </c>
      <c r="D38" s="30"/>
      <c r="E38" s="31"/>
      <c r="F38" s="31"/>
      <c r="G38" s="31"/>
      <c r="H38" s="27"/>
      <c r="I38" s="88"/>
      <c r="Q38" s="329"/>
      <c r="R38" s="329"/>
    </row>
    <row r="39" spans="1:34" x14ac:dyDescent="0.25">
      <c r="D39" s="33"/>
      <c r="E39" s="34"/>
      <c r="F39" s="34"/>
      <c r="G39" s="35"/>
      <c r="H39" s="31"/>
      <c r="I39" s="89"/>
      <c r="K39" s="235"/>
      <c r="L39" s="439" t="s">
        <v>214</v>
      </c>
      <c r="M39" s="439"/>
      <c r="N39" s="439"/>
      <c r="O39" s="439"/>
    </row>
    <row r="40" spans="1:34" x14ac:dyDescent="0.25">
      <c r="D40" s="37"/>
      <c r="E40" s="31"/>
      <c r="F40" s="31"/>
      <c r="G40" s="31"/>
      <c r="H40" s="38"/>
      <c r="I40" s="38"/>
      <c r="K40" s="236"/>
      <c r="L40" s="237" t="str">
        <f>L35</f>
        <v/>
      </c>
      <c r="M40" s="237" t="str">
        <f>M35</f>
        <v>b</v>
      </c>
      <c r="N40" s="237" t="str">
        <f>N35</f>
        <v/>
      </c>
      <c r="O40" s="237"/>
      <c r="Q40" s="31"/>
      <c r="R40" s="440" t="s">
        <v>215</v>
      </c>
      <c r="S40" s="440"/>
      <c r="T40" s="440"/>
      <c r="U40" s="440"/>
      <c r="X40" s="31"/>
      <c r="Y40" s="440" t="s">
        <v>164</v>
      </c>
      <c r="Z40" s="440"/>
      <c r="AA40" s="440"/>
      <c r="AB40" s="440"/>
      <c r="AD40" s="31"/>
      <c r="AE40" s="440" t="s">
        <v>163</v>
      </c>
      <c r="AF40" s="440"/>
      <c r="AG40" s="440"/>
      <c r="AH40" s="440"/>
    </row>
    <row r="41" spans="1:34" x14ac:dyDescent="0.25">
      <c r="D41" s="39"/>
      <c r="E41" s="31"/>
      <c r="F41" s="31" t="s">
        <v>216</v>
      </c>
      <c r="G41" s="31"/>
      <c r="H41" s="31"/>
      <c r="I41" s="31"/>
      <c r="K41" s="162" t="s">
        <v>199</v>
      </c>
      <c r="L41" s="352" t="str">
        <f t="shared" ref="L41:O42" si="3">IF(L36&lt;&gt;0,R55,"")</f>
        <v/>
      </c>
      <c r="M41" s="352" t="str">
        <f t="shared" si="3"/>
        <v>NBT</v>
      </c>
      <c r="N41" s="352" t="str">
        <f t="shared" si="3"/>
        <v/>
      </c>
      <c r="O41" s="352" t="str">
        <f t="shared" si="3"/>
        <v>EBT</v>
      </c>
      <c r="Q41" t="s">
        <v>199</v>
      </c>
      <c r="R41" s="353">
        <f>MAX(Y41,AE41)</f>
        <v>0</v>
      </c>
      <c r="S41" s="353">
        <f t="shared" ref="S41:U42" si="4">MAX(Z41,AF41)</f>
        <v>2</v>
      </c>
      <c r="T41" s="353">
        <f t="shared" si="4"/>
        <v>0</v>
      </c>
      <c r="U41" s="353">
        <f t="shared" si="4"/>
        <v>4</v>
      </c>
      <c r="V41" s="441">
        <f>IF(W36=0,1,0)</f>
        <v>1</v>
      </c>
      <c r="X41" t="s">
        <v>199</v>
      </c>
      <c r="Y41" s="353">
        <f>IF(AND($Y$40=$K$2,E27=1),1,0)</f>
        <v>0</v>
      </c>
      <c r="Z41" s="354">
        <f>IF(AND($Y$40=$K$2,D27=2),2,0)</f>
        <v>0</v>
      </c>
      <c r="AA41" s="240">
        <f>IF(AND($Y$40=$K$2,G27=3),3,0)</f>
        <v>0</v>
      </c>
      <c r="AB41" s="354">
        <f>IF(AND($Y$40=$K$2,J27=4),4,0)</f>
        <v>0</v>
      </c>
      <c r="AD41" t="s">
        <v>199</v>
      </c>
      <c r="AE41" s="353">
        <f>IF(AND($AE$40=$K$2,I27=1),1,0)</f>
        <v>0</v>
      </c>
      <c r="AF41" s="354">
        <f>IF(AND($AE$40=$K$2,H27=2),2,0)</f>
        <v>2</v>
      </c>
      <c r="AG41" s="240">
        <f>IF(AND($AE$40=$K$2,E27=3),3,0)</f>
        <v>0</v>
      </c>
      <c r="AH41" s="354">
        <f>IF(AND($AE$40=$K$2,D27=4),4,0)</f>
        <v>4</v>
      </c>
    </row>
    <row r="42" spans="1:34" x14ac:dyDescent="0.25">
      <c r="D42" s="40"/>
      <c r="E42" s="98" t="str">
        <f>G27&amp;"  "&amp;G28</f>
        <v>0  2</v>
      </c>
      <c r="F42" s="99">
        <f>H27</f>
        <v>2</v>
      </c>
      <c r="G42" s="31"/>
      <c r="H42" s="31"/>
      <c r="I42" s="31"/>
      <c r="K42" s="238" t="s">
        <v>200</v>
      </c>
      <c r="L42" s="352" t="str">
        <f t="shared" si="3"/>
        <v/>
      </c>
      <c r="M42" s="352" t="str">
        <f t="shared" si="3"/>
        <v>SBT</v>
      </c>
      <c r="N42" s="352" t="str">
        <f t="shared" si="3"/>
        <v/>
      </c>
      <c r="O42" s="352" t="str">
        <f t="shared" si="3"/>
        <v>WBT</v>
      </c>
      <c r="Q42" s="239" t="s">
        <v>200</v>
      </c>
      <c r="R42" s="353">
        <f>MAX(Y42,AE42)</f>
        <v>0</v>
      </c>
      <c r="S42" s="353">
        <f t="shared" si="4"/>
        <v>6</v>
      </c>
      <c r="T42" s="353">
        <f t="shared" si="4"/>
        <v>0</v>
      </c>
      <c r="U42" s="353">
        <f t="shared" si="4"/>
        <v>8</v>
      </c>
      <c r="V42" s="441"/>
      <c r="X42" s="239" t="s">
        <v>200</v>
      </c>
      <c r="Y42" s="192">
        <f>IF(AND($Y$40=$K$2,C27=5),5,0)</f>
        <v>0</v>
      </c>
      <c r="Z42" s="216">
        <f>IF(AND($Y$40=$K$2,F27=6),6,0)</f>
        <v>0</v>
      </c>
      <c r="AA42" s="192">
        <f>IF(AND($Y$40=$K$2,I27=7),7,0)</f>
        <v>0</v>
      </c>
      <c r="AB42" s="216">
        <f>IF(AND($Y$40=$K$2,H27=8),8,0)</f>
        <v>0</v>
      </c>
      <c r="AD42" s="239" t="s">
        <v>200</v>
      </c>
      <c r="AE42" s="192">
        <f>IF(AND($AE$40=$K$2,G27=5),5,0)</f>
        <v>0</v>
      </c>
      <c r="AF42" s="216">
        <f>IF(AND($AE$40=$K$2,J27=6),6,0)</f>
        <v>6</v>
      </c>
      <c r="AG42" s="192">
        <f>IF(AND($AE$40=$K$2,C27=7),7,0)</f>
        <v>0</v>
      </c>
      <c r="AH42" s="216">
        <f>IF(AND($AE$40=$K$2,F27=8),8,0)</f>
        <v>8</v>
      </c>
    </row>
    <row r="43" spans="1:34" x14ac:dyDescent="0.25">
      <c r="Q43"/>
      <c r="R43" s="329"/>
      <c r="S43" s="329"/>
      <c r="T43" s="329"/>
      <c r="U43" s="329"/>
      <c r="V43" s="240"/>
    </row>
    <row r="44" spans="1:34" x14ac:dyDescent="0.25">
      <c r="Q44" s="239"/>
      <c r="R44" s="440" t="s">
        <v>217</v>
      </c>
      <c r="S44" s="440"/>
      <c r="T44" s="440"/>
      <c r="U44" s="440"/>
      <c r="V44" s="240"/>
    </row>
    <row r="45" spans="1:34" x14ac:dyDescent="0.25">
      <c r="Q45" t="s">
        <v>199</v>
      </c>
      <c r="R45" s="354">
        <f t="shared" ref="R45:U46" si="5">IF(W36&lt;&gt;0,W36,0)</f>
        <v>0</v>
      </c>
      <c r="S45" s="354">
        <f t="shared" si="5"/>
        <v>0</v>
      </c>
      <c r="T45" s="354">
        <f t="shared" si="5"/>
        <v>0</v>
      </c>
      <c r="U45" s="354">
        <f t="shared" si="5"/>
        <v>0</v>
      </c>
      <c r="V45" s="437">
        <f>IF(W36=0,0,1)</f>
        <v>0</v>
      </c>
    </row>
    <row r="46" spans="1:34" x14ac:dyDescent="0.25">
      <c r="Q46" s="239" t="s">
        <v>200</v>
      </c>
      <c r="R46" s="354">
        <f t="shared" si="5"/>
        <v>0</v>
      </c>
      <c r="S46" s="354">
        <f t="shared" si="5"/>
        <v>0</v>
      </c>
      <c r="T46" s="354">
        <f t="shared" si="5"/>
        <v>0</v>
      </c>
      <c r="U46" s="354">
        <f t="shared" si="5"/>
        <v>0</v>
      </c>
      <c r="V46" s="437"/>
    </row>
    <row r="47" spans="1:34" x14ac:dyDescent="0.25">
      <c r="A47" s="18" t="s">
        <v>218</v>
      </c>
      <c r="C47" s="235"/>
      <c r="D47" s="439" t="s">
        <v>213</v>
      </c>
      <c r="E47" s="439"/>
      <c r="F47" s="439"/>
      <c r="G47" s="439"/>
      <c r="K47" s="235"/>
      <c r="L47" s="439" t="s">
        <v>219</v>
      </c>
      <c r="M47" s="439"/>
      <c r="N47" s="439"/>
      <c r="O47" s="439"/>
    </row>
    <row r="48" spans="1:34" x14ac:dyDescent="0.25">
      <c r="C48" s="236"/>
      <c r="D48" s="237" t="str">
        <f t="shared" ref="D48:G50" si="6">L35</f>
        <v/>
      </c>
      <c r="E48" s="237" t="str">
        <f t="shared" si="6"/>
        <v>b</v>
      </c>
      <c r="F48" s="237" t="str">
        <f t="shared" si="6"/>
        <v/>
      </c>
      <c r="G48" s="237">
        <f t="shared" si="6"/>
        <v>0</v>
      </c>
      <c r="K48" s="236"/>
      <c r="L48" s="237" t="str">
        <f>IF($V$41=0,"b","")</f>
        <v/>
      </c>
      <c r="M48" s="237" t="str">
        <f>IF(OR($V$41=0,$V$41=1),"b","")</f>
        <v>b</v>
      </c>
      <c r="N48" s="237" t="str">
        <f>IF($V$41=0,"b","")</f>
        <v/>
      </c>
      <c r="O48" s="351"/>
      <c r="Q48" s="41"/>
      <c r="R48" s="41"/>
      <c r="S48" s="41"/>
      <c r="T48" s="41"/>
      <c r="U48" s="41"/>
      <c r="V48" s="41"/>
      <c r="W48" s="41"/>
      <c r="X48" s="41"/>
    </row>
    <row r="49" spans="3:24" x14ac:dyDescent="0.25">
      <c r="C49" s="339" t="s">
        <v>199</v>
      </c>
      <c r="D49" s="237">
        <f t="shared" si="6"/>
        <v>0</v>
      </c>
      <c r="E49" s="237">
        <f t="shared" si="6"/>
        <v>2</v>
      </c>
      <c r="F49" s="237">
        <f t="shared" si="6"/>
        <v>0</v>
      </c>
      <c r="G49" s="237">
        <f t="shared" si="6"/>
        <v>4</v>
      </c>
      <c r="K49" s="162" t="s">
        <v>199</v>
      </c>
      <c r="L49" s="352">
        <f>Phasing!D46</f>
        <v>0</v>
      </c>
      <c r="M49" s="352">
        <f>Phasing!E46</f>
        <v>0</v>
      </c>
      <c r="N49" s="352">
        <f>Phasing!F46</f>
        <v>0</v>
      </c>
      <c r="O49" s="352">
        <f>Phasing!G46</f>
        <v>44</v>
      </c>
      <c r="Q49" s="240">
        <f>C27</f>
        <v>0</v>
      </c>
      <c r="R49" s="240">
        <f t="shared" ref="R49:X49" si="7">D27</f>
        <v>4</v>
      </c>
      <c r="S49" s="240">
        <f t="shared" si="7"/>
        <v>0</v>
      </c>
      <c r="T49" s="240">
        <f t="shared" si="7"/>
        <v>8</v>
      </c>
      <c r="U49" s="240">
        <f t="shared" si="7"/>
        <v>0</v>
      </c>
      <c r="V49" s="240">
        <f t="shared" si="7"/>
        <v>2</v>
      </c>
      <c r="W49" s="240">
        <f t="shared" si="7"/>
        <v>0</v>
      </c>
      <c r="X49" s="240">
        <f t="shared" si="7"/>
        <v>6</v>
      </c>
    </row>
    <row r="50" spans="3:24" x14ac:dyDescent="0.25">
      <c r="C50" s="340" t="s">
        <v>200</v>
      </c>
      <c r="D50" s="237">
        <f t="shared" si="6"/>
        <v>0</v>
      </c>
      <c r="E50" s="237">
        <f t="shared" si="6"/>
        <v>6</v>
      </c>
      <c r="F50" s="237">
        <f t="shared" si="6"/>
        <v>0</v>
      </c>
      <c r="G50" s="237">
        <f t="shared" si="6"/>
        <v>8</v>
      </c>
      <c r="K50" s="238" t="s">
        <v>200</v>
      </c>
      <c r="L50" s="352">
        <f>Phasing!H46</f>
        <v>0</v>
      </c>
      <c r="M50" s="352">
        <f>Phasing!I46</f>
        <v>0</v>
      </c>
      <c r="N50" s="352">
        <f>Phasing!J46</f>
        <v>0</v>
      </c>
      <c r="O50" s="352">
        <f>Phasing!K46</f>
        <v>44</v>
      </c>
      <c r="Q50" s="240">
        <f t="shared" ref="Q50:X50" si="8">IF(Q49&gt;0,C26,0)</f>
        <v>0</v>
      </c>
      <c r="R50" s="240" t="str">
        <f t="shared" si="8"/>
        <v>EBT</v>
      </c>
      <c r="S50" s="240">
        <f t="shared" si="8"/>
        <v>0</v>
      </c>
      <c r="T50" s="240" t="str">
        <f t="shared" si="8"/>
        <v>WBT</v>
      </c>
      <c r="U50" s="240">
        <f t="shared" si="8"/>
        <v>0</v>
      </c>
      <c r="V50" s="240" t="str">
        <f t="shared" si="8"/>
        <v>NBT</v>
      </c>
      <c r="W50" s="240">
        <f t="shared" si="8"/>
        <v>0</v>
      </c>
      <c r="X50" s="240" t="str">
        <f t="shared" si="8"/>
        <v>SBT</v>
      </c>
    </row>
    <row r="51" spans="3:24" x14ac:dyDescent="0.25">
      <c r="R51" s="192"/>
      <c r="S51" s="192"/>
      <c r="T51" s="192"/>
      <c r="U51" s="192"/>
    </row>
    <row r="52" spans="3:24" x14ac:dyDescent="0.25">
      <c r="K52" s="235"/>
      <c r="L52" s="439" t="s">
        <v>220</v>
      </c>
      <c r="M52" s="439"/>
      <c r="N52" s="439"/>
      <c r="O52" s="439"/>
      <c r="Q52" s="15" t="s">
        <v>199</v>
      </c>
      <c r="R52" s="240">
        <f t="shared" ref="R52:U53" si="9">MATCH(L36,$Q$49:$X$49,0)</f>
        <v>1</v>
      </c>
      <c r="S52" s="240">
        <f t="shared" si="9"/>
        <v>6</v>
      </c>
      <c r="T52" s="240">
        <f t="shared" si="9"/>
        <v>1</v>
      </c>
      <c r="U52" s="240">
        <f t="shared" si="9"/>
        <v>2</v>
      </c>
    </row>
    <row r="53" spans="3:24" x14ac:dyDescent="0.25">
      <c r="K53" s="236"/>
      <c r="L53" s="237" t="str">
        <f>IF($V$41=0,"b","")</f>
        <v/>
      </c>
      <c r="M53" s="237" t="str">
        <f>IF(OR($V$41=0,$V$41=1),"b","")</f>
        <v>b</v>
      </c>
      <c r="N53" s="237" t="str">
        <f>IF($V$41=0,"b","")</f>
        <v/>
      </c>
      <c r="O53" s="351"/>
      <c r="Q53" s="239" t="s">
        <v>200</v>
      </c>
      <c r="R53" s="240">
        <f t="shared" si="9"/>
        <v>1</v>
      </c>
      <c r="S53" s="240">
        <f t="shared" si="9"/>
        <v>8</v>
      </c>
      <c r="T53" s="240">
        <f t="shared" si="9"/>
        <v>1</v>
      </c>
      <c r="U53" s="240">
        <f t="shared" si="9"/>
        <v>4</v>
      </c>
    </row>
    <row r="54" spans="3:24" x14ac:dyDescent="0.25">
      <c r="K54" s="162" t="s">
        <v>199</v>
      </c>
      <c r="L54" s="352">
        <f>Phasing!D47</f>
        <v>0</v>
      </c>
      <c r="M54" s="352">
        <f>Phasing!E47</f>
        <v>44</v>
      </c>
      <c r="N54" s="352">
        <f>Phasing!F47</f>
        <v>0</v>
      </c>
      <c r="O54" s="352">
        <f>Phasing!G47</f>
        <v>80</v>
      </c>
      <c r="R54" s="240"/>
      <c r="S54" s="240"/>
      <c r="T54" s="240"/>
      <c r="U54" s="240"/>
    </row>
    <row r="55" spans="3:24" x14ac:dyDescent="0.25">
      <c r="K55" s="238" t="s">
        <v>200</v>
      </c>
      <c r="L55" s="352">
        <f>Phasing!H47</f>
        <v>0</v>
      </c>
      <c r="M55" s="352">
        <f>Phasing!I47</f>
        <v>44</v>
      </c>
      <c r="N55" s="352">
        <f>Phasing!J47</f>
        <v>0</v>
      </c>
      <c r="O55" s="352">
        <f>Phasing!K47</f>
        <v>80</v>
      </c>
      <c r="Q55" s="15" t="s">
        <v>199</v>
      </c>
      <c r="R55" s="240">
        <f>IF(R52&gt;0,INDEX($Q$49:$X$50,2,R52),0)</f>
        <v>0</v>
      </c>
      <c r="S55" s="240" t="str">
        <f>IF(S52&gt;0,INDEX($Q$49:$X$50,2,S52),0)</f>
        <v>NBT</v>
      </c>
      <c r="T55" s="240">
        <f>IF(T52&gt;0,INDEX($Q$49:$X$50,2,T52),0)</f>
        <v>0</v>
      </c>
      <c r="U55" s="240" t="str">
        <f t="shared" ref="S55:U56" si="10">INDEX($Q$49:$X$50,2,U52)</f>
        <v>EBT</v>
      </c>
    </row>
    <row r="56" spans="3:24" x14ac:dyDescent="0.25">
      <c r="Q56" s="239" t="s">
        <v>200</v>
      </c>
      <c r="R56" s="240">
        <f>INDEX($Q$49:$X$50,2,R53)</f>
        <v>0</v>
      </c>
      <c r="S56" s="240" t="str">
        <f t="shared" si="10"/>
        <v>SBT</v>
      </c>
      <c r="T56" s="240">
        <f t="shared" si="10"/>
        <v>0</v>
      </c>
      <c r="U56" s="240" t="str">
        <f t="shared" si="10"/>
        <v>WBT</v>
      </c>
    </row>
    <row r="59" spans="3:24" x14ac:dyDescent="0.25">
      <c r="K59" s="430" t="s">
        <v>221</v>
      </c>
      <c r="L59" s="438"/>
      <c r="M59" s="430" t="s">
        <v>222</v>
      </c>
      <c r="N59" s="438"/>
      <c r="O59" s="430" t="s">
        <v>223</v>
      </c>
      <c r="P59" s="438"/>
      <c r="Q59" s="430" t="s">
        <v>224</v>
      </c>
      <c r="R59" s="438"/>
      <c r="S59" s="350"/>
      <c r="T59" s="350"/>
      <c r="U59" s="350"/>
      <c r="V59" s="350"/>
      <c r="W59" s="350"/>
      <c r="X59" s="350"/>
    </row>
    <row r="60" spans="3:24" x14ac:dyDescent="0.25">
      <c r="J60" t="s">
        <v>199</v>
      </c>
      <c r="K60" s="240">
        <f>L49</f>
        <v>0</v>
      </c>
      <c r="L60" s="240">
        <f>L54</f>
        <v>0</v>
      </c>
      <c r="M60" s="240">
        <f>M49</f>
        <v>0</v>
      </c>
      <c r="N60" s="240">
        <f>M54</f>
        <v>44</v>
      </c>
      <c r="O60" s="240">
        <f>N49</f>
        <v>0</v>
      </c>
      <c r="P60" s="240">
        <f>N54</f>
        <v>0</v>
      </c>
      <c r="Q60" s="190">
        <f>O49</f>
        <v>44</v>
      </c>
      <c r="R60" s="190">
        <f>O54</f>
        <v>80</v>
      </c>
      <c r="S60" s="139"/>
      <c r="T60" s="139"/>
      <c r="U60" s="139"/>
      <c r="V60" s="139"/>
      <c r="W60" s="139"/>
      <c r="X60" s="21"/>
    </row>
    <row r="61" spans="3:24" x14ac:dyDescent="0.25">
      <c r="J61" t="s">
        <v>200</v>
      </c>
      <c r="K61" s="240">
        <f>L50</f>
        <v>0</v>
      </c>
      <c r="L61" s="240">
        <f>L55</f>
        <v>0</v>
      </c>
      <c r="M61" s="240">
        <f>M50</f>
        <v>0</v>
      </c>
      <c r="N61" s="240">
        <f>M55</f>
        <v>44</v>
      </c>
      <c r="O61" s="240">
        <f>N50</f>
        <v>0</v>
      </c>
      <c r="P61" s="240">
        <f>N55</f>
        <v>0</v>
      </c>
      <c r="Q61" s="190">
        <f>O50</f>
        <v>44</v>
      </c>
      <c r="R61" s="190">
        <f>O55</f>
        <v>80</v>
      </c>
      <c r="S61" s="192"/>
      <c r="T61" s="192"/>
      <c r="U61" s="192"/>
      <c r="V61" s="192"/>
      <c r="W61" s="192"/>
      <c r="X61" s="192"/>
    </row>
    <row r="62" spans="3:24" x14ac:dyDescent="0.25">
      <c r="K62" s="430" t="s">
        <v>225</v>
      </c>
      <c r="L62" s="438"/>
      <c r="M62" s="430" t="s">
        <v>226</v>
      </c>
      <c r="N62" s="438"/>
      <c r="O62" s="430" t="s">
        <v>227</v>
      </c>
      <c r="P62" s="438"/>
      <c r="Q62" s="430" t="s">
        <v>228</v>
      </c>
      <c r="R62" s="438"/>
      <c r="S62" s="192"/>
      <c r="T62" s="192"/>
      <c r="U62" s="192"/>
      <c r="V62" s="192"/>
      <c r="W62" s="192"/>
      <c r="X62" s="192"/>
    </row>
    <row r="63" spans="3:24" x14ac:dyDescent="0.25">
      <c r="Q63" s="23"/>
      <c r="R63" s="23"/>
      <c r="S63" s="23"/>
      <c r="T63" s="23"/>
      <c r="U63" s="23"/>
      <c r="V63" s="23"/>
      <c r="W63" s="23"/>
      <c r="X63" s="23"/>
    </row>
    <row r="64" spans="3:24" x14ac:dyDescent="0.25">
      <c r="K64" t="s">
        <v>199</v>
      </c>
      <c r="L64" s="240">
        <v>0</v>
      </c>
      <c r="M64" s="240">
        <f>M60</f>
        <v>0</v>
      </c>
      <c r="N64" s="240">
        <f>O60</f>
        <v>0</v>
      </c>
      <c r="O64" s="240">
        <f>Q60</f>
        <v>44</v>
      </c>
      <c r="P64" s="240">
        <f>R60</f>
        <v>80</v>
      </c>
      <c r="Q64" s="23"/>
      <c r="R64" s="23"/>
      <c r="S64" s="23"/>
      <c r="T64" s="23"/>
      <c r="U64" s="23"/>
      <c r="V64" s="23"/>
      <c r="W64" s="23"/>
      <c r="X64" s="23"/>
    </row>
    <row r="65" spans="11:24" x14ac:dyDescent="0.25">
      <c r="K65" t="s">
        <v>200</v>
      </c>
      <c r="L65" s="240">
        <v>0</v>
      </c>
      <c r="M65" s="240">
        <f>M61</f>
        <v>0</v>
      </c>
      <c r="N65" s="240">
        <f>O61</f>
        <v>0</v>
      </c>
      <c r="O65" s="240">
        <f>Q61</f>
        <v>44</v>
      </c>
      <c r="P65" s="240">
        <f>R61</f>
        <v>80</v>
      </c>
      <c r="Q65" s="89"/>
      <c r="R65" s="89"/>
      <c r="S65" s="350"/>
      <c r="T65" s="350"/>
      <c r="U65" s="350"/>
      <c r="V65" s="350"/>
      <c r="W65" s="350"/>
      <c r="X65" s="350"/>
    </row>
    <row r="66" spans="11:24" x14ac:dyDescent="0.25">
      <c r="Q66" s="23"/>
      <c r="R66" s="23"/>
      <c r="S66" s="139"/>
      <c r="T66" s="139"/>
      <c r="U66" s="139"/>
      <c r="V66" s="139"/>
      <c r="W66" s="139"/>
      <c r="X66" s="21"/>
    </row>
    <row r="67" spans="11:24" x14ac:dyDescent="0.25">
      <c r="Q67" s="15"/>
      <c r="R67" s="57"/>
      <c r="S67" s="57"/>
      <c r="T67" s="57"/>
      <c r="U67" s="57"/>
      <c r="V67" s="57"/>
      <c r="W67" s="57"/>
      <c r="X67" s="57"/>
    </row>
    <row r="68" spans="11:24" x14ac:dyDescent="0.25">
      <c r="Q68" s="239"/>
      <c r="R68" s="57"/>
      <c r="S68" s="57"/>
      <c r="T68" s="57"/>
      <c r="U68" s="57"/>
      <c r="V68" s="57"/>
      <c r="W68" s="57"/>
      <c r="X68" s="57"/>
    </row>
  </sheetData>
  <mergeCells count="30">
    <mergeCell ref="B1:D1"/>
    <mergeCell ref="M1:N1"/>
    <mergeCell ref="O1:P1"/>
    <mergeCell ref="H9:I9"/>
    <mergeCell ref="R13:V13"/>
    <mergeCell ref="J11:J15"/>
    <mergeCell ref="Q16:U16"/>
    <mergeCell ref="R17:U17"/>
    <mergeCell ref="R21:S21"/>
    <mergeCell ref="R25:T25"/>
    <mergeCell ref="L34:O34"/>
    <mergeCell ref="L15:L18"/>
    <mergeCell ref="L39:O39"/>
    <mergeCell ref="R40:U40"/>
    <mergeCell ref="Y40:AB40"/>
    <mergeCell ref="AE40:AH40"/>
    <mergeCell ref="R44:U44"/>
    <mergeCell ref="V41:V42"/>
    <mergeCell ref="D47:G47"/>
    <mergeCell ref="L47:O47"/>
    <mergeCell ref="L52:O52"/>
    <mergeCell ref="K59:L59"/>
    <mergeCell ref="M59:N59"/>
    <mergeCell ref="O59:P59"/>
    <mergeCell ref="V45:V46"/>
    <mergeCell ref="Q59:R59"/>
    <mergeCell ref="K62:L62"/>
    <mergeCell ref="M62:N62"/>
    <mergeCell ref="O62:P62"/>
    <mergeCell ref="Q62:R62"/>
  </mergeCells>
  <phoneticPr fontId="25" type="noConversion"/>
  <conditionalFormatting sqref="P35:P36 D48:G50 L35:O37">
    <cfRule type="cellIs" dxfId="26" priority="9" stopIfTrue="1" operator="equal">
      <formula>0</formula>
    </cfRule>
  </conditionalFormatting>
  <conditionalFormatting sqref="L48:O50">
    <cfRule type="cellIs" dxfId="25" priority="2" stopIfTrue="1" operator="equal">
      <formula>0</formula>
    </cfRule>
  </conditionalFormatting>
  <conditionalFormatting sqref="L53:O55">
    <cfRule type="cellIs" dxfId="24" priority="1" stopIfTrue="1" operator="equal">
      <formula>0</formula>
    </cfRule>
  </conditionalFormatting>
  <pageMargins left="0.7" right="0.7" top="0.75" bottom="0.75" header="0.3" footer="0.3"/>
  <pageSetup orientation="portrait" horizontalDpi="1200" verticalDpi="1200"/>
  <ignoredErrors>
    <ignoredError sqref="T12:U12" formula="1"/>
  </ignoredError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64"/>
  <sheetViews>
    <sheetView topLeftCell="A13" zoomScale="70" zoomScaleNormal="70" workbookViewId="0">
      <selection activeCell="C15" sqref="C15"/>
    </sheetView>
  </sheetViews>
  <sheetFormatPr defaultColWidth="9" defaultRowHeight="14.4" x14ac:dyDescent="0.25"/>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customWidth="1"/>
    <col min="38" max="40" width="16.6640625" customWidth="1"/>
    <col min="42" max="53" width="9" hidden="1" customWidth="1"/>
    <col min="54" max="54" width="35" customWidth="1"/>
    <col min="55" max="57" width="16.6640625" customWidth="1"/>
  </cols>
  <sheetData>
    <row r="1" spans="2:57" x14ac:dyDescent="0.25">
      <c r="B1" s="318" t="s">
        <v>162</v>
      </c>
      <c r="T1" s="327"/>
      <c r="AK1" s="327"/>
      <c r="BB1" s="327"/>
    </row>
    <row r="2" spans="2:57" s="15" customFormat="1" x14ac:dyDescent="0.25">
      <c r="B2" s="449" t="s">
        <v>229</v>
      </c>
      <c r="C2" s="449"/>
      <c r="D2" s="449"/>
      <c r="E2" s="449"/>
      <c r="T2" s="449" t="s">
        <v>230</v>
      </c>
      <c r="U2" s="449"/>
      <c r="V2" s="449"/>
      <c r="W2" s="449"/>
      <c r="AK2" s="449" t="s">
        <v>231</v>
      </c>
      <c r="AL2" s="449"/>
      <c r="AM2" s="449"/>
      <c r="AN2" s="449"/>
      <c r="BB2" s="449" t="s">
        <v>232</v>
      </c>
      <c r="BC2" s="449"/>
      <c r="BD2" s="449"/>
      <c r="BE2" s="449"/>
    </row>
    <row r="3" spans="2:57" s="15" customFormat="1" x14ac:dyDescent="0.25"/>
    <row r="4" spans="2:57" s="317" customFormat="1" x14ac:dyDescent="0.25">
      <c r="B4" s="319" t="s">
        <v>233</v>
      </c>
      <c r="C4" s="317" t="s">
        <v>234</v>
      </c>
      <c r="D4" s="317" t="s">
        <v>235</v>
      </c>
      <c r="T4" s="319" t="s">
        <v>233</v>
      </c>
      <c r="U4" s="317" t="s">
        <v>234</v>
      </c>
      <c r="V4" s="317" t="s">
        <v>235</v>
      </c>
      <c r="AK4" s="319" t="s">
        <v>233</v>
      </c>
      <c r="AL4" s="317" t="s">
        <v>234</v>
      </c>
      <c r="AM4" s="317" t="s">
        <v>235</v>
      </c>
      <c r="BB4" s="319" t="s">
        <v>233</v>
      </c>
      <c r="BC4" s="317" t="s">
        <v>234</v>
      </c>
      <c r="BD4" s="317" t="s">
        <v>235</v>
      </c>
    </row>
    <row r="5" spans="2:57" s="15" customFormat="1" x14ac:dyDescent="0.25">
      <c r="B5" s="15" t="s">
        <v>236</v>
      </c>
      <c r="C5" s="57">
        <f>ROUND(Sheet1!P4*(1-'Input sheet'!G17/100),0)</f>
        <v>90</v>
      </c>
      <c r="D5" s="57">
        <f>C5</f>
        <v>90</v>
      </c>
      <c r="T5" s="15" t="s">
        <v>236</v>
      </c>
      <c r="U5" s="57">
        <f>ROUND(Sheet1!U4*(1-'Input sheet'!N11/100),0)</f>
        <v>108</v>
      </c>
      <c r="V5" s="57">
        <f>U5</f>
        <v>108</v>
      </c>
      <c r="AK5" s="15" t="s">
        <v>236</v>
      </c>
      <c r="AL5" s="57">
        <f>ROUND((Sheet1!F4+Sheet1!Y4+Sheet1!AB4)*(1-'Input sheet'!L22/100),0)</f>
        <v>54</v>
      </c>
      <c r="AM5" s="57">
        <f>AL5</f>
        <v>54</v>
      </c>
      <c r="BB5" s="15" t="s">
        <v>236</v>
      </c>
      <c r="BC5" s="57">
        <f>ROUND((Sheet1!K4+Sheet1!AE4+Sheet1!AH4)*(1-'Input sheet'!H7/100),0)</f>
        <v>90</v>
      </c>
      <c r="BD5" s="57">
        <f>BC5</f>
        <v>90</v>
      </c>
    </row>
    <row r="6" spans="2:57" s="317" customFormat="1" x14ac:dyDescent="0.25">
      <c r="B6" s="317" t="s">
        <v>237</v>
      </c>
      <c r="C6" s="164">
        <f>Sheet1!P5</f>
        <v>1</v>
      </c>
      <c r="D6" s="164">
        <v>1</v>
      </c>
      <c r="T6" s="317" t="s">
        <v>237</v>
      </c>
      <c r="U6" s="164">
        <f>Sheet1!U5</f>
        <v>1</v>
      </c>
      <c r="V6" s="164">
        <v>1</v>
      </c>
      <c r="AK6" s="317" t="s">
        <v>237</v>
      </c>
      <c r="AL6" s="164">
        <f>Sheet1!F5+Sheet1!Y5+Sheet1!AB5</f>
        <v>1</v>
      </c>
      <c r="AM6" s="164">
        <v>1</v>
      </c>
      <c r="BB6" s="317" t="s">
        <v>237</v>
      </c>
      <c r="BC6" s="164">
        <f>Sheet1!K5+Sheet1!AE5+Sheet1!AH5</f>
        <v>1</v>
      </c>
      <c r="BD6" s="164">
        <v>1</v>
      </c>
    </row>
    <row r="7" spans="2:57" s="15" customFormat="1" x14ac:dyDescent="0.25">
      <c r="B7" s="15" t="s">
        <v>238</v>
      </c>
      <c r="C7" s="57">
        <f>IF(C6=1,0.85,0.75)</f>
        <v>0.85</v>
      </c>
      <c r="D7" s="57">
        <v>0.85</v>
      </c>
      <c r="T7" s="15" t="s">
        <v>238</v>
      </c>
      <c r="U7" s="57">
        <f>IF(U6=1,0.85,0.75)</f>
        <v>0.85</v>
      </c>
      <c r="V7" s="57">
        <v>0.85</v>
      </c>
      <c r="AK7" s="15" t="s">
        <v>238</v>
      </c>
      <c r="AL7" s="57">
        <f>IF(AL6=1,0.85,0.75)</f>
        <v>0.85</v>
      </c>
      <c r="AM7" s="57">
        <v>0.85</v>
      </c>
      <c r="BB7" s="15" t="s">
        <v>238</v>
      </c>
      <c r="BC7" s="57">
        <f>IF(BC6=1,0.85,0.75)</f>
        <v>0.85</v>
      </c>
      <c r="BD7" s="57">
        <v>0.85</v>
      </c>
    </row>
    <row r="8" spans="2:57" s="317" customFormat="1" x14ac:dyDescent="0.25">
      <c r="B8" s="317" t="s">
        <v>239</v>
      </c>
      <c r="C8" s="164">
        <f>ROUND(IF(C6=0,0,C5/(C6*C7)),0)</f>
        <v>106</v>
      </c>
      <c r="D8" s="164">
        <f>ROUND(IF(C6=0,D5/(D6*D7),0),0)</f>
        <v>0</v>
      </c>
      <c r="T8" s="317" t="s">
        <v>239</v>
      </c>
      <c r="U8" s="164">
        <f>ROUND(IF(U6=0,0,U5/(U6*U7)),0)</f>
        <v>127</v>
      </c>
      <c r="V8" s="164">
        <f>ROUND(IF(U6=0,V5/(V6*V7),0),0)</f>
        <v>0</v>
      </c>
      <c r="AK8" s="317" t="s">
        <v>239</v>
      </c>
      <c r="AL8" s="164">
        <f>ROUND(IF(AL6=0,0,AL5/(AL6*AL7)),0)</f>
        <v>64</v>
      </c>
      <c r="AM8" s="164">
        <f>ROUND(IF(AL6=0,AM5/(AM6*AM7),0),0)</f>
        <v>0</v>
      </c>
      <c r="BB8" s="317" t="s">
        <v>239</v>
      </c>
      <c r="BC8" s="164">
        <f>ROUND(IF(BC6=0,0,BC5/(BC6*BC7)),0)</f>
        <v>106</v>
      </c>
      <c r="BD8" s="164">
        <f>ROUND(IF(BC6=0,BD5/(BD6*BD7),0),0)</f>
        <v>0</v>
      </c>
    </row>
    <row r="9" spans="2:57" s="15" customFormat="1" x14ac:dyDescent="0.25"/>
    <row r="10" spans="2:57" s="317" customFormat="1" x14ac:dyDescent="0.25">
      <c r="B10" s="319" t="s">
        <v>240</v>
      </c>
      <c r="T10" s="319" t="s">
        <v>240</v>
      </c>
      <c r="AK10" s="319" t="s">
        <v>240</v>
      </c>
      <c r="BB10" s="319" t="s">
        <v>240</v>
      </c>
    </row>
    <row r="11" spans="2:57" s="15" customFormat="1" x14ac:dyDescent="0.25">
      <c r="B11" s="15" t="s">
        <v>241</v>
      </c>
      <c r="C11" s="57">
        <f>Sheet1!N4</f>
        <v>200</v>
      </c>
      <c r="T11" s="15" t="s">
        <v>241</v>
      </c>
      <c r="U11" s="57">
        <f>Sheet1!S4</f>
        <v>200</v>
      </c>
      <c r="AK11" s="15" t="s">
        <v>241</v>
      </c>
      <c r="AL11" s="57">
        <f>Sheet1!D4+Sheet1!W4+Sheet1!Z4</f>
        <v>75</v>
      </c>
      <c r="BB11" s="15" t="s">
        <v>241</v>
      </c>
      <c r="BC11" s="57">
        <f>Sheet1!I4+Sheet1!AC4+Sheet1!AF4</f>
        <v>100</v>
      </c>
    </row>
    <row r="12" spans="2:57" s="317" customFormat="1" x14ac:dyDescent="0.25">
      <c r="B12" s="317" t="s">
        <v>242</v>
      </c>
      <c r="C12" s="164">
        <f>SUM(Sheet1!S4:U4)-Sheet1!S4</f>
        <v>620</v>
      </c>
      <c r="T12" s="317" t="s">
        <v>242</v>
      </c>
      <c r="U12" s="164">
        <f>SUM(Sheet1!N4:P4)-Sheet1!N4</f>
        <v>600</v>
      </c>
      <c r="AK12" s="317" t="s">
        <v>242</v>
      </c>
      <c r="AL12" s="164">
        <f>SUM(Sheet1!I4:K4,Sheet1!AC4:AH4)-Sheet1!AF4-Sheet1!AC4-Sheet1!I4</f>
        <v>950</v>
      </c>
      <c r="BB12" s="317" t="s">
        <v>242</v>
      </c>
      <c r="BC12" s="164">
        <f>SUM(Sheet1!D4:F4,Sheet1!W4:AB4)-Sheet1!Z4-Sheet1!W4-Sheet1!D4</f>
        <v>710</v>
      </c>
    </row>
    <row r="13" spans="2:57" s="15" customFormat="1" x14ac:dyDescent="0.25">
      <c r="B13" s="15" t="s">
        <v>243</v>
      </c>
      <c r="C13" s="57">
        <f>Sheet1!N5</f>
        <v>1</v>
      </c>
      <c r="T13" s="15" t="s">
        <v>243</v>
      </c>
      <c r="U13" s="57">
        <f>Sheet1!S5</f>
        <v>1</v>
      </c>
      <c r="AK13" s="15" t="s">
        <v>243</v>
      </c>
      <c r="AL13" s="57">
        <f>Sheet1!D5+Sheet1!W5+Sheet1!Z5</f>
        <v>1</v>
      </c>
      <c r="BB13" s="15" t="s">
        <v>243</v>
      </c>
      <c r="BC13" s="57">
        <f>Sheet1!I5+Sheet1!AC4+Sheet1!AF4</f>
        <v>1</v>
      </c>
    </row>
    <row r="14" spans="2:57" s="317" customFormat="1" x14ac:dyDescent="0.25">
      <c r="B14" s="317" t="s">
        <v>244</v>
      </c>
      <c r="C14" s="164">
        <f>MAX(C18:C21)</f>
        <v>0.95</v>
      </c>
      <c r="D14" s="320">
        <f>IF(OR('Phase designation'!C22=1,'Phase designation'!C22=3),1,0)</f>
        <v>0</v>
      </c>
      <c r="T14" s="317" t="s">
        <v>244</v>
      </c>
      <c r="U14" s="164">
        <f>MAX(U18:U21)</f>
        <v>0.95</v>
      </c>
      <c r="V14" s="320">
        <f>IF(OR('Phase designation'!E22=1,'Phase designation'!E22=3),1,0)</f>
        <v>0</v>
      </c>
      <c r="AK14" s="317" t="s">
        <v>244</v>
      </c>
      <c r="AL14" s="164">
        <f>MAX(AL18:AL21)</f>
        <v>0.95</v>
      </c>
      <c r="AM14" s="320">
        <f>IF(OR('Phase designation'!G22=1,'Phase designation'!G22=3),1,0)</f>
        <v>0</v>
      </c>
      <c r="BB14" s="317" t="s">
        <v>244</v>
      </c>
      <c r="BC14" s="164">
        <f>MAX(BC18:BC21)</f>
        <v>0.95</v>
      </c>
      <c r="BD14" s="320">
        <f>IF(OR('Phase designation'!I22=1,'Phase designation'!I22=3),1,0)</f>
        <v>0</v>
      </c>
    </row>
    <row r="15" spans="2:57" s="15" customFormat="1" x14ac:dyDescent="0.25">
      <c r="B15" s="448" t="s">
        <v>245</v>
      </c>
      <c r="C15" s="57" t="s">
        <v>246</v>
      </c>
      <c r="D15" s="57" t="s">
        <v>247</v>
      </c>
      <c r="E15" s="57" t="s">
        <v>248</v>
      </c>
      <c r="T15" s="448" t="s">
        <v>245</v>
      </c>
      <c r="U15" s="57" t="s">
        <v>246</v>
      </c>
      <c r="V15" s="57" t="s">
        <v>247</v>
      </c>
      <c r="W15" s="57" t="s">
        <v>248</v>
      </c>
      <c r="AK15" s="448" t="s">
        <v>245</v>
      </c>
      <c r="AL15" s="57" t="s">
        <v>246</v>
      </c>
      <c r="AM15" s="57" t="s">
        <v>247</v>
      </c>
      <c r="AN15" s="57" t="s">
        <v>248</v>
      </c>
      <c r="BB15" s="448" t="s">
        <v>245</v>
      </c>
      <c r="BC15" s="57" t="s">
        <v>246</v>
      </c>
      <c r="BD15" s="57" t="s">
        <v>247</v>
      </c>
      <c r="BE15" s="57" t="s">
        <v>248</v>
      </c>
    </row>
    <row r="16" spans="2:57" s="317" customFormat="1" x14ac:dyDescent="0.25">
      <c r="B16" s="448"/>
      <c r="C16" s="321">
        <v>0</v>
      </c>
      <c r="D16" s="321">
        <f>IF(D14=1,D17,0)</f>
        <v>0</v>
      </c>
      <c r="E16" s="321">
        <f>ROUND(IF(OR(C20&gt;0,C21&gt;0),C11/(C13*C14),0),0)</f>
        <v>0</v>
      </c>
      <c r="T16" s="448"/>
      <c r="U16" s="321">
        <v>0</v>
      </c>
      <c r="V16" s="321">
        <f>IF(V14=1,V17,0)</f>
        <v>0</v>
      </c>
      <c r="W16" s="321">
        <f>ROUND(IF(OR(U20&gt;0,U21&gt;0),U11/(U13*U14),0),0)</f>
        <v>0</v>
      </c>
      <c r="AK16" s="448"/>
      <c r="AL16" s="321">
        <v>0</v>
      </c>
      <c r="AM16" s="321">
        <f>IF(AM14=1,AM17,0)</f>
        <v>0</v>
      </c>
      <c r="AN16" s="321">
        <f>ROUND(IF(OR(AL20&gt;0,AL21&gt;0),AL11/(AL13*AL14),0),0)</f>
        <v>0</v>
      </c>
      <c r="BB16" s="448"/>
      <c r="BC16" s="321">
        <v>0</v>
      </c>
      <c r="BD16" s="321">
        <f>IF(BD14=1,BD17,0)</f>
        <v>0</v>
      </c>
      <c r="BE16" s="321">
        <f>ROUND(IF(OR(BC20&gt;0,BC21&gt;0),BC11/(BC13*BC14),0),0)</f>
        <v>0</v>
      </c>
    </row>
    <row r="17" spans="2:57" s="15" customFormat="1" x14ac:dyDescent="0.25">
      <c r="D17" s="322">
        <f>ROUND(IF(OR(C18&gt;0,C19&gt;0),C11/(C13*C14),0),0)</f>
        <v>211</v>
      </c>
      <c r="V17" s="322">
        <f>ROUND(IF(OR(U18&gt;0,U19&gt;0),U11/(U13*U14),0),0)</f>
        <v>211</v>
      </c>
      <c r="AM17" s="322">
        <f>ROUND(IF(OR(AL18&gt;0,AL19&gt;0),AL11/(AL13*AL14),0),0)</f>
        <v>79</v>
      </c>
      <c r="BD17" s="322">
        <f>ROUND(IF(OR(BC18&gt;0,BC19&gt;0),BC11/(BC13*BC14),0),0)</f>
        <v>105</v>
      </c>
    </row>
    <row r="18" spans="2:57" s="15" customFormat="1" x14ac:dyDescent="0.25">
      <c r="B18" s="15" t="s">
        <v>249</v>
      </c>
      <c r="C18" s="15">
        <f>IF(AND(SUM(Sheet1!S5:U5)&gt;0,'Lane volumes'!C13=1),0.95,0)</f>
        <v>0.95</v>
      </c>
      <c r="T18" s="15" t="s">
        <v>249</v>
      </c>
      <c r="U18" s="15">
        <f>IF(AND(SUM(Sheet1!N5:P5)&gt;0,'Lane volumes'!U13=1),0.95,0)</f>
        <v>0.95</v>
      </c>
      <c r="AK18" s="15" t="s">
        <v>249</v>
      </c>
      <c r="AL18" s="15">
        <f>IF(AND(SUM(Sheet1!I5:K5,Sheet1!AC5:AE5,Sheet1!AF5:AH5)&gt;0,'Lane volumes'!AL13=1),0.95,0)</f>
        <v>0.95</v>
      </c>
      <c r="BB18" s="15" t="s">
        <v>249</v>
      </c>
      <c r="BC18" s="15">
        <f>IF(AND(SUM(Sheet1!D5:F5,Sheet1!W5:Y5,Sheet1!Z5:AB5)&gt;0,'Lane volumes'!BC13=1),0.95,0)</f>
        <v>0.95</v>
      </c>
    </row>
    <row r="19" spans="2:57" s="15" customFormat="1" x14ac:dyDescent="0.25">
      <c r="B19" s="15" t="s">
        <v>250</v>
      </c>
      <c r="C19" s="15">
        <f>IF(AND(SUM(Sheet1!S5:U5)&gt;0,'Lane volumes'!C13&gt;=2),0.92,0)</f>
        <v>0</v>
      </c>
      <c r="T19" s="15" t="s">
        <v>250</v>
      </c>
      <c r="U19" s="15">
        <f>IF(AND(SUM(Sheet1!N5:P5)&gt;0,'Lane volumes'!U13&gt;=2),0.92,0)</f>
        <v>0</v>
      </c>
      <c r="AK19" s="15" t="s">
        <v>250</v>
      </c>
      <c r="AL19" s="15">
        <f>IF(AND(SUM(Sheet1!I5:K5,Sheet1!AC5:AE5,Sheet1!AF5:AH5)&gt;0,'Lane volumes'!AL13&gt;=2),0.92,0)</f>
        <v>0</v>
      </c>
      <c r="BB19" s="15" t="s">
        <v>250</v>
      </c>
      <c r="BC19" s="15">
        <f>IF(AND(SUM(Sheet1!D5:F5,Sheet1!W5:Y5,Sheet1!Z5:AB5)&gt;0,'Lane volumes'!BC13&gt;=2),0.92,0)</f>
        <v>0</v>
      </c>
    </row>
    <row r="20" spans="2:57" s="15" customFormat="1" x14ac:dyDescent="0.25">
      <c r="B20" s="15" t="s">
        <v>251</v>
      </c>
      <c r="C20" s="15">
        <f>IF(AND(SUM(Sheet1!S5:U5)=0,'Lane volumes'!C13=1),0.85,0)</f>
        <v>0</v>
      </c>
      <c r="T20" s="15" t="s">
        <v>251</v>
      </c>
      <c r="U20" s="15">
        <f>IF(AND(SUM(Sheet1!N5:P5)=0,'Lane volumes'!U13=1),0.85,0)</f>
        <v>0</v>
      </c>
      <c r="AK20" s="15" t="s">
        <v>251</v>
      </c>
      <c r="AL20" s="15">
        <f>IF(AND(SUM(Sheet1!I5:K5,Sheet1!AC5:AE5,Sheet1!AF5:AH5)=0,'Lane volumes'!AL13=1),0.85,0)</f>
        <v>0</v>
      </c>
      <c r="BB20" s="15" t="s">
        <v>251</v>
      </c>
      <c r="BC20" s="15">
        <f>IF(AND(SUM(Sheet1!D5:F5,Sheet1!W5:Y5,Sheet1!Z5:AB5)=0,'Lane volumes'!BC13=1),0.85,0)</f>
        <v>0</v>
      </c>
    </row>
    <row r="21" spans="2:57" s="15" customFormat="1" x14ac:dyDescent="0.25">
      <c r="B21" s="15" t="s">
        <v>252</v>
      </c>
      <c r="C21" s="15">
        <f>IF(AND(SUM(Sheet1!S5:U5)=0,'Lane volumes'!C13&gt;=2),0.75,0)</f>
        <v>0</v>
      </c>
      <c r="T21" s="15" t="s">
        <v>252</v>
      </c>
      <c r="U21" s="15">
        <f>IF(AND(SUM(Sheet1!N5:P5)=0,'Lane volumes'!U13&gt;=2),0.75,0)</f>
        <v>0</v>
      </c>
      <c r="AK21" s="15" t="s">
        <v>252</v>
      </c>
      <c r="AL21" s="15">
        <f>IF(AND(SUM(Sheet1!I5:K5,Sheet1!AC5:AE5,Sheet1!AF5:AH5)=0,'Lane volumes'!AL13&gt;=2),0.75,0)</f>
        <v>0</v>
      </c>
      <c r="BB21" s="15" t="s">
        <v>252</v>
      </c>
      <c r="BC21" s="15">
        <f>IF(AND(SUM(Sheet1!D5:F5,Sheet1!W5:Y5,Sheet1!Z5:AB5)=0,'Lane volumes'!BC13&gt;=2),0.75,0)</f>
        <v>0</v>
      </c>
    </row>
    <row r="22" spans="2:57" s="15" customFormat="1" x14ac:dyDescent="0.25"/>
    <row r="23" spans="2:57" s="317" customFormat="1" x14ac:dyDescent="0.25">
      <c r="B23" s="319" t="s">
        <v>253</v>
      </c>
      <c r="C23" s="164" t="s">
        <v>246</v>
      </c>
      <c r="D23" s="164" t="s">
        <v>247</v>
      </c>
      <c r="E23" s="164" t="s">
        <v>248</v>
      </c>
      <c r="T23" s="319" t="s">
        <v>253</v>
      </c>
      <c r="U23" s="164" t="s">
        <v>246</v>
      </c>
      <c r="V23" s="164" t="s">
        <v>247</v>
      </c>
      <c r="W23" s="164" t="s">
        <v>248</v>
      </c>
      <c r="AK23" s="319" t="s">
        <v>253</v>
      </c>
      <c r="AL23" s="164" t="s">
        <v>246</v>
      </c>
      <c r="AM23" s="164" t="s">
        <v>247</v>
      </c>
      <c r="AN23" s="164" t="s">
        <v>248</v>
      </c>
      <c r="BB23" s="319" t="s">
        <v>253</v>
      </c>
      <c r="BC23" s="164" t="s">
        <v>246</v>
      </c>
      <c r="BD23" s="164" t="s">
        <v>247</v>
      </c>
      <c r="BE23" s="164" t="s">
        <v>248</v>
      </c>
    </row>
    <row r="24" spans="2:57" s="15" customFormat="1" x14ac:dyDescent="0.25">
      <c r="B24" s="15" t="s">
        <v>254</v>
      </c>
      <c r="C24" s="57">
        <f>IF(AND('Phase designation'!C22=2,E16=0),Sheet1!O4,0)</f>
        <v>500</v>
      </c>
      <c r="D24" s="57">
        <f>IF(OR('Phase designation'!C22=1,'Phase designation'!C22=3),Sheet1!O4,0)</f>
        <v>0</v>
      </c>
      <c r="E24" s="57">
        <f>IF(OR(C20&gt;0,C21&gt;0),Sheet1!O4,0)</f>
        <v>0</v>
      </c>
      <c r="T24" s="15" t="s">
        <v>254</v>
      </c>
      <c r="U24" s="57">
        <f>IF(AND('Phase designation'!E22=2,W16=0),Sheet1!T4,0)</f>
        <v>500</v>
      </c>
      <c r="V24" s="57">
        <f>IF(OR('Phase designation'!E22=1,'Phase designation'!E22=3),Sheet1!T4,0)</f>
        <v>0</v>
      </c>
      <c r="W24" s="57">
        <f>IF(OR(U20&gt;0,U21&gt;0),Sheet1!T4,0)</f>
        <v>0</v>
      </c>
      <c r="AK24" s="15" t="s">
        <v>254</v>
      </c>
      <c r="AL24" s="57">
        <f>IF(AND('Phase designation'!G22=2,AN16=0),Sheet1!E4+Sheet1!X4+Sheet1!AA4,0)</f>
        <v>650</v>
      </c>
      <c r="AM24" s="57">
        <f>IF(OR('Phase designation'!G22=1,'Phase designation'!G22=3),Sheet1!E4+Sheet1!X4+Sheet1!AA4,0)</f>
        <v>0</v>
      </c>
      <c r="AN24" s="57">
        <f>IF(OR(AL20&gt;0,AL21&gt;0),Sheet1!E4+Sheet1!X4+Sheet1!AA4,0)</f>
        <v>0</v>
      </c>
      <c r="BB24" s="15" t="s">
        <v>254</v>
      </c>
      <c r="BC24" s="57">
        <f>IF(AND('Phase designation'!I22=2,BE16=0),Sheet1!J4+Sheet1!AD4+Sheet1!AG4,0)</f>
        <v>850</v>
      </c>
      <c r="BD24" s="57">
        <f>IF(OR('Phase designation'!I22=1,'Phase designation'!I22=3),Sheet1!J4+Sheet1!AD4+Sheet1!AG4,0)</f>
        <v>0</v>
      </c>
      <c r="BE24" s="57">
        <f>IF(OR(BC20&gt;0,BC21&gt;0),Sheet1!J4+Sheet1!AD4+Sheet1!AG4,0)</f>
        <v>0</v>
      </c>
    </row>
    <row r="25" spans="2:57" s="317" customFormat="1" x14ac:dyDescent="0.25">
      <c r="B25" s="317" t="s">
        <v>255</v>
      </c>
      <c r="C25" s="164">
        <v>1</v>
      </c>
      <c r="D25" s="164">
        <v>1</v>
      </c>
      <c r="E25" s="164">
        <v>1</v>
      </c>
      <c r="T25" s="317" t="s">
        <v>255</v>
      </c>
      <c r="U25" s="164">
        <v>1</v>
      </c>
      <c r="V25" s="164">
        <v>1</v>
      </c>
      <c r="W25" s="164">
        <v>1</v>
      </c>
      <c r="AK25" s="317" t="s">
        <v>255</v>
      </c>
      <c r="AL25" s="164">
        <v>1</v>
      </c>
      <c r="AM25" s="164">
        <v>1</v>
      </c>
      <c r="AN25" s="164">
        <v>1</v>
      </c>
      <c r="BB25" s="317" t="s">
        <v>255</v>
      </c>
      <c r="BC25" s="164">
        <v>1</v>
      </c>
      <c r="BD25" s="164">
        <v>1</v>
      </c>
      <c r="BE25" s="164">
        <v>1</v>
      </c>
    </row>
    <row r="26" spans="2:57" s="15" customFormat="1" x14ac:dyDescent="0.25">
      <c r="B26" s="15" t="s">
        <v>256</v>
      </c>
      <c r="C26" s="57">
        <f>Sheet1!O5</f>
        <v>3</v>
      </c>
      <c r="D26" s="57">
        <f>C26</f>
        <v>3</v>
      </c>
      <c r="E26" s="57">
        <f>C26</f>
        <v>3</v>
      </c>
      <c r="T26" s="15" t="s">
        <v>256</v>
      </c>
      <c r="U26" s="57">
        <f>Sheet1!T5</f>
        <v>3</v>
      </c>
      <c r="V26" s="57">
        <f>U26</f>
        <v>3</v>
      </c>
      <c r="W26" s="57">
        <f>U26</f>
        <v>3</v>
      </c>
      <c r="AK26" s="15" t="s">
        <v>256</v>
      </c>
      <c r="AL26" s="57">
        <f>Sheet1!E5+Sheet1!X5+Sheet1!AA5</f>
        <v>2</v>
      </c>
      <c r="AM26" s="57">
        <f>AL26</f>
        <v>2</v>
      </c>
      <c r="AN26" s="57">
        <f>AL26</f>
        <v>2</v>
      </c>
      <c r="BB26" s="15" t="s">
        <v>256</v>
      </c>
      <c r="BC26" s="57">
        <f>Sheet1!J5+Sheet1!AD5+Sheet1!AG5</f>
        <v>2</v>
      </c>
      <c r="BD26" s="57">
        <f>BC26</f>
        <v>2</v>
      </c>
      <c r="BE26" s="57">
        <f>BC26</f>
        <v>2</v>
      </c>
    </row>
    <row r="27" spans="2:57" s="317" customFormat="1" x14ac:dyDescent="0.25">
      <c r="B27" s="317" t="s">
        <v>257</v>
      </c>
      <c r="C27" s="164">
        <f>IF(C24=0,0,(D8+C24)/C25)</f>
        <v>500</v>
      </c>
      <c r="D27" s="164">
        <f>IF(D24=0,0,(D8+D24)/D25)</f>
        <v>0</v>
      </c>
      <c r="E27" s="164">
        <f>IF(E24=0,0,(D8+E24+E16)/E25)</f>
        <v>0</v>
      </c>
      <c r="T27" s="317" t="s">
        <v>257</v>
      </c>
      <c r="U27" s="164">
        <f>IF(U24=0,0,(V8+U24)/U25)</f>
        <v>500</v>
      </c>
      <c r="V27" s="164">
        <f>IF(V24=0,0,(V8+V24)/V25)</f>
        <v>0</v>
      </c>
      <c r="W27" s="164">
        <f>IF(W24=0,0,(V8+W24+W16)/W25)</f>
        <v>0</v>
      </c>
      <c r="AK27" s="317" t="s">
        <v>257</v>
      </c>
      <c r="AL27" s="164">
        <f>IF(AL24=0,0,(AM8+AL24)/AL25)</f>
        <v>650</v>
      </c>
      <c r="AM27" s="164">
        <f>IF(AM24=0,0,(AM8+AM24)/AM25)</f>
        <v>0</v>
      </c>
      <c r="AN27" s="164">
        <f>IF(AN24=0,0,(AM8+AN24+AN16)/AN25)</f>
        <v>0</v>
      </c>
      <c r="BB27" s="317" t="s">
        <v>257</v>
      </c>
      <c r="BC27" s="164">
        <f>IF(BC24=0,0,(BD8+BC24)/BC25)</f>
        <v>850</v>
      </c>
      <c r="BD27" s="164">
        <f>IF(BD24=0,0,(BD8+BD24)/BD25)</f>
        <v>0</v>
      </c>
      <c r="BE27" s="164">
        <f>IF(BE24=0,0,(BD8+BE24+BE16)/BE25)</f>
        <v>0</v>
      </c>
    </row>
    <row r="28" spans="2:57" s="15" customFormat="1" x14ac:dyDescent="0.25"/>
    <row r="29" spans="2:57" s="317" customFormat="1" ht="30" customHeight="1" x14ac:dyDescent="0.25">
      <c r="B29" s="323" t="s">
        <v>258</v>
      </c>
      <c r="C29" s="321" t="s">
        <v>246</v>
      </c>
      <c r="D29" s="321" t="s">
        <v>247</v>
      </c>
      <c r="E29" s="321" t="s">
        <v>248</v>
      </c>
      <c r="T29" s="323" t="s">
        <v>258</v>
      </c>
      <c r="U29" s="321" t="s">
        <v>246</v>
      </c>
      <c r="V29" s="321" t="s">
        <v>247</v>
      </c>
      <c r="W29" s="321" t="s">
        <v>248</v>
      </c>
      <c r="AK29" s="323" t="s">
        <v>258</v>
      </c>
      <c r="AL29" s="321" t="s">
        <v>246</v>
      </c>
      <c r="AM29" s="321" t="s">
        <v>247</v>
      </c>
      <c r="AN29" s="321" t="s">
        <v>248</v>
      </c>
      <c r="BB29" s="323" t="s">
        <v>258</v>
      </c>
      <c r="BC29" s="321" t="s">
        <v>246</v>
      </c>
      <c r="BD29" s="321" t="s">
        <v>247</v>
      </c>
      <c r="BE29" s="321" t="s">
        <v>248</v>
      </c>
    </row>
    <row r="30" spans="2:57" s="15" customFormat="1" x14ac:dyDescent="0.25">
      <c r="B30" s="15" t="s">
        <v>259</v>
      </c>
      <c r="C30" s="57">
        <f>IF(C26&gt;0,ROUND(C27/C26,0),0)</f>
        <v>167</v>
      </c>
      <c r="D30" s="57">
        <f>IF(D26&gt;0,ROUND(D27/D26,0),0)</f>
        <v>0</v>
      </c>
      <c r="E30" s="57">
        <f>IF(E26&gt;0,ROUND(E27/E26,0),0)</f>
        <v>0</v>
      </c>
      <c r="T30" s="15" t="s">
        <v>259</v>
      </c>
      <c r="U30" s="57">
        <f>IF(U26&gt;0,ROUND(U27/U26,0),0)</f>
        <v>167</v>
      </c>
      <c r="V30" s="57">
        <f>IF(V26&gt;0,ROUND(V27/V26,0),0)</f>
        <v>0</v>
      </c>
      <c r="W30" s="57">
        <f>IF(W26&gt;0,ROUND(W27/W26,0),0)</f>
        <v>0</v>
      </c>
      <c r="AK30" s="15" t="s">
        <v>259</v>
      </c>
      <c r="AL30" s="57">
        <f>IF(AL26&gt;0,ROUND(AL27/AL26,0),0)</f>
        <v>325</v>
      </c>
      <c r="AM30" s="57">
        <f>IF(AM26&gt;0,ROUND(AM27/AM26,0),0)</f>
        <v>0</v>
      </c>
      <c r="AN30" s="57">
        <f>IF(AN26&gt;0,ROUND(AN27/AN26,0),0)</f>
        <v>0</v>
      </c>
      <c r="BB30" s="15" t="s">
        <v>259</v>
      </c>
      <c r="BC30" s="57">
        <f>IF(BC26&gt;0,ROUND(BC27/BC26,0),0)</f>
        <v>425</v>
      </c>
      <c r="BD30" s="57">
        <f>IF(BD26&gt;0,ROUND(BD27/BD26,0),0)</f>
        <v>0</v>
      </c>
      <c r="BE30" s="57">
        <f>IF(BE26&gt;0,ROUND(BE27/BE26,0),0)</f>
        <v>0</v>
      </c>
    </row>
    <row r="31" spans="2:57" s="317" customFormat="1" ht="30" customHeight="1" x14ac:dyDescent="0.25">
      <c r="B31" s="324" t="s">
        <v>260</v>
      </c>
      <c r="C31" s="321">
        <f>IF(C30=0,0,MAX(C30,C8,E16))</f>
        <v>167</v>
      </c>
      <c r="D31" s="321">
        <f>IF(D30=0,0,MAX(D30,C8,E16))</f>
        <v>0</v>
      </c>
      <c r="E31" s="321">
        <f>IF(E30=0,0,MAX(E30,C8,E16))</f>
        <v>0</v>
      </c>
      <c r="T31" s="324" t="s">
        <v>260</v>
      </c>
      <c r="U31" s="321">
        <f>IF(U30=0,0,MAX(U30,U8,W16))</f>
        <v>167</v>
      </c>
      <c r="V31" s="321">
        <f>IF(V30=0,0,MAX(V30,U8,W16))</f>
        <v>0</v>
      </c>
      <c r="W31" s="321">
        <f>IF(W30=0,0,MAX(W30,U8,W16))</f>
        <v>0</v>
      </c>
      <c r="AK31" s="324" t="s">
        <v>260</v>
      </c>
      <c r="AL31" s="321">
        <f>IF(AL30=0,0,MAX(AL30,AL8,AN16))</f>
        <v>325</v>
      </c>
      <c r="AM31" s="321">
        <f>IF(AM30=0,0,MAX(AM30,AL8,AN16))</f>
        <v>0</v>
      </c>
      <c r="AN31" s="321">
        <f>IF(AN30=0,0,MAX(AN30,AL8,AN16))</f>
        <v>0</v>
      </c>
      <c r="BB31" s="324" t="s">
        <v>260</v>
      </c>
      <c r="BC31" s="321">
        <f>IF(BC30=0,0,MAX(BC30,BC8,BE16))</f>
        <v>425</v>
      </c>
      <c r="BD31" s="321">
        <f>IF(BD30=0,0,MAX(BD30,BC8,BE16))</f>
        <v>0</v>
      </c>
      <c r="BE31" s="321">
        <f>IF(BE30=0,0,MAX(BE30,BC8,BE16))</f>
        <v>0</v>
      </c>
    </row>
    <row r="32" spans="2:57" s="15" customFormat="1" x14ac:dyDescent="0.25"/>
    <row r="33" spans="2:69" s="317" customFormat="1" ht="30" customHeight="1" x14ac:dyDescent="0.25">
      <c r="B33" s="323" t="s">
        <v>261</v>
      </c>
      <c r="C33" s="321" t="s">
        <v>246</v>
      </c>
      <c r="D33" s="321" t="s">
        <v>247</v>
      </c>
      <c r="E33" s="321" t="s">
        <v>248</v>
      </c>
      <c r="T33" s="323" t="s">
        <v>261</v>
      </c>
      <c r="U33" s="321" t="s">
        <v>246</v>
      </c>
      <c r="V33" s="321" t="s">
        <v>247</v>
      </c>
      <c r="W33" s="321" t="s">
        <v>248</v>
      </c>
      <c r="AK33" s="323" t="s">
        <v>261</v>
      </c>
      <c r="AL33" s="321" t="s">
        <v>246</v>
      </c>
      <c r="AM33" s="321" t="s">
        <v>247</v>
      </c>
      <c r="AN33" s="321" t="s">
        <v>248</v>
      </c>
      <c r="BB33" s="323" t="s">
        <v>261</v>
      </c>
      <c r="BC33" s="321" t="s">
        <v>246</v>
      </c>
      <c r="BD33" s="321" t="s">
        <v>247</v>
      </c>
      <c r="BE33" s="321" t="s">
        <v>248</v>
      </c>
    </row>
    <row r="34" spans="2:69" s="15" customFormat="1" x14ac:dyDescent="0.25">
      <c r="B34" s="15" t="s">
        <v>262</v>
      </c>
      <c r="C34" s="57">
        <f>MAX(D56:D57)</f>
        <v>1</v>
      </c>
      <c r="D34" s="57">
        <v>0</v>
      </c>
      <c r="E34" s="57">
        <v>0</v>
      </c>
      <c r="T34" s="15" t="s">
        <v>262</v>
      </c>
      <c r="U34" s="57">
        <f>MAX(V56:V57)</f>
        <v>1</v>
      </c>
      <c r="V34" s="57">
        <v>0</v>
      </c>
      <c r="W34" s="57">
        <v>0</v>
      </c>
      <c r="AK34" s="15" t="s">
        <v>262</v>
      </c>
      <c r="AL34" s="57">
        <f>MAX(AM56:AM57)</f>
        <v>1</v>
      </c>
      <c r="AM34" s="57">
        <v>0</v>
      </c>
      <c r="AN34" s="57">
        <v>0</v>
      </c>
      <c r="BB34" s="15" t="s">
        <v>262</v>
      </c>
      <c r="BC34" s="57">
        <f>MAX(BD56:BD57)</f>
        <v>1</v>
      </c>
      <c r="BD34" s="57">
        <v>0</v>
      </c>
      <c r="BE34" s="57">
        <v>0</v>
      </c>
    </row>
    <row r="35" spans="2:69" s="317" customFormat="1" x14ac:dyDescent="0.25">
      <c r="B35" s="317" t="s">
        <v>263</v>
      </c>
      <c r="C35" s="164">
        <f>IF(Sheet1!O6=0,INDEX(C42:Q43,2,C44+1),INDEX(C42:Q43,1,C44+1))</f>
        <v>2.8</v>
      </c>
      <c r="D35" s="164">
        <v>0</v>
      </c>
      <c r="E35" s="164">
        <v>0</v>
      </c>
      <c r="T35" s="317" t="s">
        <v>263</v>
      </c>
      <c r="U35" s="164">
        <f>IF(Sheet1!T6=0,INDEX(U42:AI43,2,U44+1),INDEX(U42:AI43,1,U44+1))</f>
        <v>2.8</v>
      </c>
      <c r="V35" s="164">
        <v>0</v>
      </c>
      <c r="W35" s="164">
        <v>0</v>
      </c>
      <c r="AK35" s="317" t="s">
        <v>263</v>
      </c>
      <c r="AL35" s="164">
        <f>IF(Sheet1!E6=0,INDEX(AL42:AZ43,2,AL44+1),INDEX(AL42:AZ43,1,AL44+1))</f>
        <v>3.3</v>
      </c>
      <c r="AM35" s="164">
        <v>0</v>
      </c>
      <c r="AN35" s="164">
        <v>0</v>
      </c>
      <c r="BB35" s="317" t="s">
        <v>263</v>
      </c>
      <c r="BC35" s="164">
        <f>IF(Sheet1!J6=0,INDEX(BC42:BQ43,2,BC44+1),INDEX(BC42:BQ43,1,BC44+1))</f>
        <v>2.8</v>
      </c>
      <c r="BD35" s="164">
        <v>0</v>
      </c>
      <c r="BE35" s="164">
        <v>0</v>
      </c>
    </row>
    <row r="36" spans="2:69" s="15" customFormat="1" x14ac:dyDescent="0.25">
      <c r="B36" s="15" t="s">
        <v>264</v>
      </c>
      <c r="C36" s="57">
        <f>IF(Sheet1!O6=0,1,MIN('Lane volumes'!E49,'Lane volumes'!E52))</f>
        <v>1</v>
      </c>
      <c r="D36" s="57">
        <f>IF(Sheet1!O6=0,1,E52)</f>
        <v>1</v>
      </c>
      <c r="E36" s="57">
        <v>1</v>
      </c>
      <c r="T36" s="15" t="s">
        <v>264</v>
      </c>
      <c r="U36" s="57">
        <f>IF(Sheet1!T6=0,1,MIN('Lane volumes'!W49,'Lane volumes'!W52))</f>
        <v>1</v>
      </c>
      <c r="V36" s="57">
        <f>IF(Sheet1!T6=0,1,W52)</f>
        <v>1</v>
      </c>
      <c r="W36" s="57">
        <v>1</v>
      </c>
      <c r="AK36" s="15" t="s">
        <v>264</v>
      </c>
      <c r="AL36" s="57">
        <f>IF(Sheet1!E6=0,1,MIN('Lane volumes'!AN49,'Lane volumes'!AN52))</f>
        <v>1</v>
      </c>
      <c r="AM36" s="57">
        <f>IF(Sheet1!E6=0,1,AN52)</f>
        <v>1</v>
      </c>
      <c r="AN36" s="57">
        <v>1</v>
      </c>
      <c r="BB36" s="15" t="s">
        <v>264</v>
      </c>
      <c r="BC36" s="57">
        <f>IF(Sheet1!J6=0,1,MIN('Lane volumes'!BE49,'Lane volumes'!BE52))</f>
        <v>1</v>
      </c>
      <c r="BD36" s="57">
        <f>IF(Sheet1!J6=0,1,BE52)</f>
        <v>1</v>
      </c>
      <c r="BE36" s="57">
        <v>1</v>
      </c>
    </row>
    <row r="37" spans="2:69" s="317" customFormat="1" x14ac:dyDescent="0.25">
      <c r="B37" s="317" t="s">
        <v>259</v>
      </c>
      <c r="C37" s="164">
        <f>IF(C36=1,0,C27/(C26*C36))</f>
        <v>0</v>
      </c>
      <c r="D37" s="164">
        <f>IF(D36=1,0,D27/(D26*D36))</f>
        <v>0</v>
      </c>
      <c r="E37" s="164">
        <f>IF(E36=1,0,E27/(E26*E36))</f>
        <v>0</v>
      </c>
      <c r="T37" s="317" t="s">
        <v>259</v>
      </c>
      <c r="U37" s="164">
        <f>IF(U36=1,0,U27/(U26*U36))</f>
        <v>0</v>
      </c>
      <c r="V37" s="164">
        <f>IF(V36=1,0,V27/(V26*V36))</f>
        <v>0</v>
      </c>
      <c r="W37" s="164">
        <f>IF(W36=1,0,W27/(W26*W36))</f>
        <v>0</v>
      </c>
      <c r="AK37" s="317" t="s">
        <v>259</v>
      </c>
      <c r="AL37" s="164">
        <f>IF(AL36=1,0,AL27/(AL26*AL36))</f>
        <v>0</v>
      </c>
      <c r="AM37" s="164">
        <f>IF(AM36=1,0,AM27/(AM26*AM36))</f>
        <v>0</v>
      </c>
      <c r="AN37" s="164">
        <f>IF(AN36=1,0,AN27/(AN26*AN36))</f>
        <v>0</v>
      </c>
      <c r="BB37" s="317" t="s">
        <v>259</v>
      </c>
      <c r="BC37" s="164">
        <f>IF(BC36=1,0,BC27/(BC26*BC36))</f>
        <v>0</v>
      </c>
      <c r="BD37" s="164">
        <f>IF(BD36=1,0,BD27/(BD26*BD36))</f>
        <v>0</v>
      </c>
      <c r="BE37" s="164">
        <f>IF(BE36=1,0,BE27/(BE26*BE36))</f>
        <v>0</v>
      </c>
    </row>
    <row r="38" spans="2:69" s="15" customFormat="1" ht="30" customHeight="1" x14ac:dyDescent="0.25">
      <c r="B38" s="325" t="s">
        <v>265</v>
      </c>
      <c r="C38" s="273">
        <f>IF(C37=0,0,MAX($C$8,C37))</f>
        <v>0</v>
      </c>
      <c r="D38" s="273">
        <f>IF(D37=0,0,MAX($C$8,D37))</f>
        <v>0</v>
      </c>
      <c r="E38" s="273">
        <f>IF(E37=0,0,MAX($C$8,E37))</f>
        <v>0</v>
      </c>
      <c r="T38" s="325" t="s">
        <v>265</v>
      </c>
      <c r="U38" s="273">
        <f>IF(U37=0,0,MAX($C$8,U37))</f>
        <v>0</v>
      </c>
      <c r="V38" s="273">
        <f>IF(V37=0,0,MAX($C$8,V37))</f>
        <v>0</v>
      </c>
      <c r="W38" s="273">
        <f>IF(W37=0,0,MAX($C$8,W37))</f>
        <v>0</v>
      </c>
      <c r="AK38" s="325" t="s">
        <v>265</v>
      </c>
      <c r="AL38" s="273">
        <f>IF(AL37=0,0,MAX($C$8,AL37))</f>
        <v>0</v>
      </c>
      <c r="AM38" s="273">
        <f>IF(AM37=0,0,MAX($C$8,AM37))</f>
        <v>0</v>
      </c>
      <c r="AN38" s="273">
        <f>IF(AN37=0,0,MAX($C$8,AN37))</f>
        <v>0</v>
      </c>
      <c r="BB38" s="325" t="s">
        <v>265</v>
      </c>
      <c r="BC38" s="273">
        <f>IF(BC37=0,0,MAX($C$8,BC37))</f>
        <v>0</v>
      </c>
      <c r="BD38" s="273">
        <f>IF(BD37=0,0,MAX($C$8,BD37))</f>
        <v>0</v>
      </c>
      <c r="BE38" s="273">
        <f>IF(BE37=0,0,MAX($C$8,BE37))</f>
        <v>0</v>
      </c>
    </row>
    <row r="39" spans="2:69" s="317" customFormat="1" x14ac:dyDescent="0.25"/>
    <row r="40" spans="2:69" s="15" customFormat="1" hidden="1" x14ac:dyDescent="0.25">
      <c r="C40" s="450" t="s">
        <v>266</v>
      </c>
      <c r="D40" s="450"/>
      <c r="E40" s="450"/>
      <c r="F40" s="450"/>
      <c r="G40" s="450"/>
      <c r="H40" s="450"/>
      <c r="I40" s="450"/>
      <c r="U40" s="450" t="s">
        <v>266</v>
      </c>
      <c r="V40" s="450"/>
      <c r="W40" s="450"/>
      <c r="X40" s="450"/>
      <c r="Y40" s="450"/>
      <c r="Z40" s="450"/>
      <c r="AA40" s="450"/>
      <c r="AL40" s="450" t="s">
        <v>266</v>
      </c>
      <c r="AM40" s="450"/>
      <c r="AN40" s="450"/>
      <c r="AO40" s="450"/>
      <c r="AP40" s="450"/>
      <c r="AQ40" s="450"/>
      <c r="AR40" s="450"/>
      <c r="BC40" s="450" t="s">
        <v>266</v>
      </c>
      <c r="BD40" s="450"/>
      <c r="BE40" s="450"/>
      <c r="BF40" s="450"/>
      <c r="BG40" s="450"/>
      <c r="BH40" s="450"/>
      <c r="BI40" s="450"/>
    </row>
    <row r="41" spans="2:69" s="15" customFormat="1" hidden="1" x14ac:dyDescent="0.25">
      <c r="B41" s="15" t="s">
        <v>267</v>
      </c>
      <c r="C41" s="57">
        <v>1</v>
      </c>
      <c r="D41" s="57">
        <v>200</v>
      </c>
      <c r="E41" s="57">
        <v>400</v>
      </c>
      <c r="F41" s="57">
        <v>600</v>
      </c>
      <c r="G41" s="57">
        <v>800</v>
      </c>
      <c r="H41" s="57">
        <v>1000</v>
      </c>
      <c r="I41" s="57">
        <v>1200</v>
      </c>
      <c r="J41" s="57">
        <v>1300</v>
      </c>
      <c r="K41" s="57">
        <v>1400</v>
      </c>
      <c r="L41" s="57">
        <v>1500</v>
      </c>
      <c r="M41" s="57">
        <v>1600</v>
      </c>
      <c r="N41" s="57">
        <v>1700</v>
      </c>
      <c r="O41" s="57">
        <v>1800</v>
      </c>
      <c r="P41" s="57">
        <v>1900</v>
      </c>
      <c r="Q41" s="57">
        <v>2000</v>
      </c>
      <c r="T41" s="15" t="s">
        <v>267</v>
      </c>
      <c r="U41" s="57">
        <v>1</v>
      </c>
      <c r="V41" s="57">
        <v>200</v>
      </c>
      <c r="W41" s="57">
        <v>400</v>
      </c>
      <c r="X41" s="57">
        <v>600</v>
      </c>
      <c r="Y41" s="57">
        <v>800</v>
      </c>
      <c r="Z41" s="57">
        <v>1000</v>
      </c>
      <c r="AA41" s="57">
        <v>1200</v>
      </c>
      <c r="AB41" s="57">
        <v>1300</v>
      </c>
      <c r="AC41" s="57">
        <v>1400</v>
      </c>
      <c r="AD41" s="57">
        <v>1500</v>
      </c>
      <c r="AE41" s="57">
        <v>1600</v>
      </c>
      <c r="AF41" s="57">
        <v>1700</v>
      </c>
      <c r="AG41" s="57">
        <v>1800</v>
      </c>
      <c r="AH41" s="57">
        <v>1900</v>
      </c>
      <c r="AI41" s="57">
        <v>2000</v>
      </c>
      <c r="AK41" s="15" t="s">
        <v>267</v>
      </c>
      <c r="AL41" s="57">
        <v>1</v>
      </c>
      <c r="AM41" s="57">
        <v>200</v>
      </c>
      <c r="AN41" s="57">
        <v>400</v>
      </c>
      <c r="AO41" s="57">
        <v>600</v>
      </c>
      <c r="AP41" s="57">
        <v>800</v>
      </c>
      <c r="AQ41" s="57">
        <v>1000</v>
      </c>
      <c r="AR41" s="57">
        <v>1200</v>
      </c>
      <c r="AS41" s="57">
        <v>1300</v>
      </c>
      <c r="AT41" s="57">
        <v>1400</v>
      </c>
      <c r="AU41" s="57">
        <v>1500</v>
      </c>
      <c r="AV41" s="57">
        <v>1600</v>
      </c>
      <c r="AW41" s="57">
        <v>1700</v>
      </c>
      <c r="AX41" s="57">
        <v>1800</v>
      </c>
      <c r="AY41" s="57">
        <v>1900</v>
      </c>
      <c r="AZ41" s="57">
        <v>2000</v>
      </c>
      <c r="BB41" s="15" t="s">
        <v>267</v>
      </c>
      <c r="BC41" s="57">
        <v>1</v>
      </c>
      <c r="BD41" s="57">
        <v>200</v>
      </c>
      <c r="BE41" s="57">
        <v>400</v>
      </c>
      <c r="BF41" s="57">
        <v>600</v>
      </c>
      <c r="BG41" s="57">
        <v>800</v>
      </c>
      <c r="BH41" s="57">
        <v>1000</v>
      </c>
      <c r="BI41" s="57">
        <v>1200</v>
      </c>
      <c r="BJ41" s="57">
        <v>1300</v>
      </c>
      <c r="BK41" s="57">
        <v>1400</v>
      </c>
      <c r="BL41" s="57">
        <v>1500</v>
      </c>
      <c r="BM41" s="57">
        <v>1600</v>
      </c>
      <c r="BN41" s="57">
        <v>1700</v>
      </c>
      <c r="BO41" s="57">
        <v>1800</v>
      </c>
      <c r="BP41" s="57">
        <v>1900</v>
      </c>
      <c r="BQ41" s="57">
        <v>2000</v>
      </c>
    </row>
    <row r="42" spans="2:69" s="15" customFormat="1" hidden="1" x14ac:dyDescent="0.25">
      <c r="B42" s="15" t="s">
        <v>38</v>
      </c>
      <c r="C42" s="57">
        <v>1.4</v>
      </c>
      <c r="D42" s="57">
        <v>1.7</v>
      </c>
      <c r="E42" s="57">
        <v>2.1</v>
      </c>
      <c r="F42" s="57">
        <v>2.5</v>
      </c>
      <c r="G42" s="57">
        <v>3.1</v>
      </c>
      <c r="H42" s="57">
        <v>3.7</v>
      </c>
      <c r="I42" s="57">
        <v>4.5</v>
      </c>
      <c r="J42" s="57">
        <f>ROUND((1750/J44)-J46,2)</f>
        <v>6.12</v>
      </c>
      <c r="K42" s="57">
        <f t="shared" ref="K42:Q42" si="0">ROUND((1750/K44)-K46,2)</f>
        <v>6.12</v>
      </c>
      <c r="L42" s="57">
        <f t="shared" si="0"/>
        <v>6.12</v>
      </c>
      <c r="M42" s="57">
        <f t="shared" si="0"/>
        <v>6.12</v>
      </c>
      <c r="N42" s="57">
        <f t="shared" si="0"/>
        <v>6.12</v>
      </c>
      <c r="O42" s="57">
        <f t="shared" si="0"/>
        <v>6.12</v>
      </c>
      <c r="P42" s="57">
        <f t="shared" si="0"/>
        <v>6.12</v>
      </c>
      <c r="Q42" s="57">
        <f t="shared" si="0"/>
        <v>6.12</v>
      </c>
      <c r="T42" s="15" t="s">
        <v>38</v>
      </c>
      <c r="U42" s="57">
        <v>1.4</v>
      </c>
      <c r="V42" s="57">
        <v>1.7</v>
      </c>
      <c r="W42" s="57">
        <v>2.1</v>
      </c>
      <c r="X42" s="57">
        <v>2.5</v>
      </c>
      <c r="Y42" s="57">
        <v>3.1</v>
      </c>
      <c r="Z42" s="57">
        <v>3.7</v>
      </c>
      <c r="AA42" s="57">
        <v>4.5</v>
      </c>
      <c r="AB42" s="57">
        <f>ROUND((1750/AB44)-AB46,2)</f>
        <v>6.18</v>
      </c>
      <c r="AC42" s="57">
        <f t="shared" ref="AC42:AI42" si="1">ROUND((1750/AC44)-AC46,2)</f>
        <v>6.18</v>
      </c>
      <c r="AD42" s="57">
        <f t="shared" si="1"/>
        <v>6.18</v>
      </c>
      <c r="AE42" s="57">
        <f t="shared" si="1"/>
        <v>6.18</v>
      </c>
      <c r="AF42" s="57">
        <f t="shared" si="1"/>
        <v>6.18</v>
      </c>
      <c r="AG42" s="57">
        <f t="shared" si="1"/>
        <v>6.18</v>
      </c>
      <c r="AH42" s="57">
        <f t="shared" si="1"/>
        <v>6.18</v>
      </c>
      <c r="AI42" s="57">
        <f t="shared" si="1"/>
        <v>6.18</v>
      </c>
      <c r="AK42" s="15" t="s">
        <v>38</v>
      </c>
      <c r="AL42" s="57">
        <v>1.4</v>
      </c>
      <c r="AM42" s="57">
        <v>1.7</v>
      </c>
      <c r="AN42" s="57">
        <v>2.1</v>
      </c>
      <c r="AO42" s="57">
        <v>2.5</v>
      </c>
      <c r="AP42" s="57">
        <v>3.1</v>
      </c>
      <c r="AQ42" s="57">
        <v>3.7</v>
      </c>
      <c r="AR42" s="57">
        <v>4.5</v>
      </c>
      <c r="AS42" s="57">
        <f>ROUND((1750/AS44)-AS46,2)</f>
        <v>6.03</v>
      </c>
      <c r="AT42" s="57">
        <f t="shared" ref="AT42:AZ42" si="2">ROUND((1750/AT44)-AT46,2)</f>
        <v>6.03</v>
      </c>
      <c r="AU42" s="57">
        <f t="shared" si="2"/>
        <v>6.03</v>
      </c>
      <c r="AV42" s="57">
        <f t="shared" si="2"/>
        <v>6.03</v>
      </c>
      <c r="AW42" s="57">
        <f t="shared" si="2"/>
        <v>6.03</v>
      </c>
      <c r="AX42" s="57">
        <f t="shared" si="2"/>
        <v>6.03</v>
      </c>
      <c r="AY42" s="57">
        <f t="shared" si="2"/>
        <v>6.03</v>
      </c>
      <c r="AZ42" s="57">
        <f t="shared" si="2"/>
        <v>6.03</v>
      </c>
      <c r="BB42" s="15" t="s">
        <v>38</v>
      </c>
      <c r="BC42" s="57">
        <v>1.4</v>
      </c>
      <c r="BD42" s="57">
        <v>1.7</v>
      </c>
      <c r="BE42" s="57">
        <v>2.1</v>
      </c>
      <c r="BF42" s="57">
        <v>2.5</v>
      </c>
      <c r="BG42" s="57">
        <v>3.1</v>
      </c>
      <c r="BH42" s="57">
        <v>3.7</v>
      </c>
      <c r="BI42" s="57">
        <v>4.5</v>
      </c>
      <c r="BJ42" s="57">
        <f>ROUND((1750/BJ44)-BJ46,2)</f>
        <v>5.99</v>
      </c>
      <c r="BK42" s="57">
        <f t="shared" ref="BK42:BQ42" si="3">ROUND((1750/BK44)-BK46,2)</f>
        <v>5.99</v>
      </c>
      <c r="BL42" s="57">
        <f t="shared" si="3"/>
        <v>5.99</v>
      </c>
      <c r="BM42" s="57">
        <f t="shared" si="3"/>
        <v>5.99</v>
      </c>
      <c r="BN42" s="57">
        <f t="shared" si="3"/>
        <v>5.99</v>
      </c>
      <c r="BO42" s="57">
        <f t="shared" si="3"/>
        <v>5.99</v>
      </c>
      <c r="BP42" s="57">
        <f t="shared" si="3"/>
        <v>5.99</v>
      </c>
      <c r="BQ42" s="57">
        <f t="shared" si="3"/>
        <v>5.99</v>
      </c>
    </row>
    <row r="43" spans="2:69" s="15" customFormat="1" hidden="1" x14ac:dyDescent="0.25">
      <c r="B43" s="15" t="s">
        <v>268</v>
      </c>
      <c r="C43" s="57">
        <v>1.3</v>
      </c>
      <c r="D43" s="57">
        <v>1.6</v>
      </c>
      <c r="E43" s="57">
        <v>1.9</v>
      </c>
      <c r="F43" s="57">
        <v>2.2999999999999998</v>
      </c>
      <c r="G43" s="57">
        <v>2.8</v>
      </c>
      <c r="H43" s="57">
        <v>3.3</v>
      </c>
      <c r="I43" s="57">
        <v>4</v>
      </c>
      <c r="J43" s="57">
        <f>ROUND((1750/J44)-J46,2)</f>
        <v>6.12</v>
      </c>
      <c r="K43" s="57">
        <f t="shared" ref="K43:Q43" si="4">ROUND((1750/K44)-K46,2)</f>
        <v>6.12</v>
      </c>
      <c r="L43" s="57">
        <f t="shared" si="4"/>
        <v>6.12</v>
      </c>
      <c r="M43" s="57">
        <f t="shared" si="4"/>
        <v>6.12</v>
      </c>
      <c r="N43" s="57">
        <f t="shared" si="4"/>
        <v>6.12</v>
      </c>
      <c r="O43" s="57">
        <f t="shared" si="4"/>
        <v>6.12</v>
      </c>
      <c r="P43" s="57">
        <f t="shared" si="4"/>
        <v>6.12</v>
      </c>
      <c r="Q43" s="57">
        <f t="shared" si="4"/>
        <v>6.12</v>
      </c>
      <c r="T43" s="15" t="s">
        <v>268</v>
      </c>
      <c r="U43" s="57">
        <v>1.3</v>
      </c>
      <c r="V43" s="57">
        <v>1.6</v>
      </c>
      <c r="W43" s="57">
        <v>1.9</v>
      </c>
      <c r="X43" s="57">
        <v>2.2999999999999998</v>
      </c>
      <c r="Y43" s="57">
        <v>2.8</v>
      </c>
      <c r="Z43" s="57">
        <v>3.3</v>
      </c>
      <c r="AA43" s="57">
        <v>4</v>
      </c>
      <c r="AB43" s="57">
        <f t="shared" ref="AB43:AI43" si="5">ROUND((1750/AB44)-AB46,2)</f>
        <v>6.18</v>
      </c>
      <c r="AC43" s="57">
        <f t="shared" si="5"/>
        <v>6.18</v>
      </c>
      <c r="AD43" s="57">
        <f t="shared" si="5"/>
        <v>6.18</v>
      </c>
      <c r="AE43" s="57">
        <f t="shared" si="5"/>
        <v>6.18</v>
      </c>
      <c r="AF43" s="57">
        <f t="shared" si="5"/>
        <v>6.18</v>
      </c>
      <c r="AG43" s="57">
        <f t="shared" si="5"/>
        <v>6.18</v>
      </c>
      <c r="AH43" s="57">
        <f t="shared" si="5"/>
        <v>6.18</v>
      </c>
      <c r="AI43" s="57">
        <f t="shared" si="5"/>
        <v>6.18</v>
      </c>
      <c r="AK43" s="15" t="s">
        <v>268</v>
      </c>
      <c r="AL43" s="57">
        <v>1.3</v>
      </c>
      <c r="AM43" s="57">
        <v>1.6</v>
      </c>
      <c r="AN43" s="57">
        <v>1.9</v>
      </c>
      <c r="AO43" s="57">
        <v>2.2999999999999998</v>
      </c>
      <c r="AP43" s="57">
        <v>2.8</v>
      </c>
      <c r="AQ43" s="57">
        <v>3.3</v>
      </c>
      <c r="AR43" s="57">
        <v>4</v>
      </c>
      <c r="AS43" s="57">
        <f t="shared" ref="AS43:AZ43" si="6">ROUND((1750/AS44)-AS46,2)</f>
        <v>6.03</v>
      </c>
      <c r="AT43" s="57">
        <f t="shared" si="6"/>
        <v>6.03</v>
      </c>
      <c r="AU43" s="57">
        <f t="shared" si="6"/>
        <v>6.03</v>
      </c>
      <c r="AV43" s="57">
        <f t="shared" si="6"/>
        <v>6.03</v>
      </c>
      <c r="AW43" s="57">
        <f t="shared" si="6"/>
        <v>6.03</v>
      </c>
      <c r="AX43" s="57">
        <f t="shared" si="6"/>
        <v>6.03</v>
      </c>
      <c r="AY43" s="57">
        <f t="shared" si="6"/>
        <v>6.03</v>
      </c>
      <c r="AZ43" s="57">
        <f t="shared" si="6"/>
        <v>6.03</v>
      </c>
      <c r="BB43" s="15" t="s">
        <v>268</v>
      </c>
      <c r="BC43" s="57">
        <v>1.3</v>
      </c>
      <c r="BD43" s="57">
        <v>1.6</v>
      </c>
      <c r="BE43" s="57">
        <v>1.9</v>
      </c>
      <c r="BF43" s="57">
        <v>2.2999999999999998</v>
      </c>
      <c r="BG43" s="57">
        <v>2.8</v>
      </c>
      <c r="BH43" s="57">
        <v>3.3</v>
      </c>
      <c r="BI43" s="57">
        <v>4</v>
      </c>
      <c r="BJ43" s="57">
        <f t="shared" ref="BJ43:BQ43" si="7">ROUND((1750/BJ44)-BJ46,2)</f>
        <v>5.99</v>
      </c>
      <c r="BK43" s="57">
        <f t="shared" si="7"/>
        <v>5.99</v>
      </c>
      <c r="BL43" s="57">
        <f t="shared" si="7"/>
        <v>5.99</v>
      </c>
      <c r="BM43" s="57">
        <f t="shared" si="7"/>
        <v>5.99</v>
      </c>
      <c r="BN43" s="57">
        <f t="shared" si="7"/>
        <v>5.99</v>
      </c>
      <c r="BO43" s="57">
        <f t="shared" si="7"/>
        <v>5.99</v>
      </c>
      <c r="BP43" s="57">
        <f t="shared" si="7"/>
        <v>5.99</v>
      </c>
      <c r="BQ43" s="57">
        <f t="shared" si="7"/>
        <v>5.99</v>
      </c>
    </row>
    <row r="44" spans="2:69" s="15" customFormat="1" hidden="1" x14ac:dyDescent="0.25">
      <c r="C44" s="322">
        <f>IF(C12&gt;0,MATCH($C$12,$C$41:$Q$41),0)</f>
        <v>4</v>
      </c>
      <c r="I44" s="57" t="s">
        <v>269</v>
      </c>
      <c r="J44" s="57">
        <f>ROUND(($C$12*EXP(-1*$C$12*4.5/3600))/(1-EXP(-1*$C$12*J45)),0)</f>
        <v>286</v>
      </c>
      <c r="K44" s="57">
        <f t="shared" ref="K44:Q44" si="8">ROUND(($C$12*EXP(-1*$C$12*4.5/3600))/(1-EXP(-1*$C$12*K45)),0)</f>
        <v>286</v>
      </c>
      <c r="L44" s="57">
        <f t="shared" si="8"/>
        <v>286</v>
      </c>
      <c r="M44" s="57">
        <f t="shared" si="8"/>
        <v>286</v>
      </c>
      <c r="N44" s="57">
        <f t="shared" si="8"/>
        <v>286</v>
      </c>
      <c r="O44" s="57">
        <f t="shared" si="8"/>
        <v>286</v>
      </c>
      <c r="P44" s="57">
        <f t="shared" si="8"/>
        <v>286</v>
      </c>
      <c r="Q44" s="57">
        <f t="shared" si="8"/>
        <v>286</v>
      </c>
      <c r="U44" s="322">
        <f>IF(U12&gt;0,MATCH($U$12,$U$41:$AI$41),0)</f>
        <v>4</v>
      </c>
      <c r="AA44" s="57" t="s">
        <v>269</v>
      </c>
      <c r="AB44" s="57">
        <f>ROUND(($U$12*EXP(-1*$U$12*4.5/3600))/(1-EXP(-1*$U$12*AB45)),0)</f>
        <v>283</v>
      </c>
      <c r="AC44" s="57">
        <f t="shared" ref="AC44:AI44" si="9">ROUND(($U$12*EXP(-1*$U$12*4.5/3600))/(1-EXP(-1*$U$12*AC45)),0)</f>
        <v>283</v>
      </c>
      <c r="AD44" s="57">
        <f t="shared" si="9"/>
        <v>283</v>
      </c>
      <c r="AE44" s="57">
        <f t="shared" si="9"/>
        <v>283</v>
      </c>
      <c r="AF44" s="57">
        <f t="shared" si="9"/>
        <v>283</v>
      </c>
      <c r="AG44" s="57">
        <f t="shared" si="9"/>
        <v>283</v>
      </c>
      <c r="AH44" s="57">
        <f t="shared" si="9"/>
        <v>283</v>
      </c>
      <c r="AI44" s="57">
        <f t="shared" si="9"/>
        <v>283</v>
      </c>
      <c r="AL44" s="322">
        <f>IF(AL12&gt;0,MATCH($AL$12,$AL$41:$AZ$41),0)</f>
        <v>5</v>
      </c>
      <c r="AR44" s="57" t="s">
        <v>269</v>
      </c>
      <c r="AS44" s="57">
        <f>ROUND(($AL$12*EXP(-1*$AL$12*4.5/3600))/(1-EXP(-1*$AL$12*AS45)),0)</f>
        <v>290</v>
      </c>
      <c r="AT44" s="57">
        <f t="shared" ref="AT44:AZ44" si="10">ROUND(($AL$12*EXP(-1*$AL$12*4.5/3600))/(1-EXP(-1*$AL$12*AT45)),0)</f>
        <v>290</v>
      </c>
      <c r="AU44" s="57">
        <f t="shared" si="10"/>
        <v>290</v>
      </c>
      <c r="AV44" s="57">
        <f t="shared" si="10"/>
        <v>290</v>
      </c>
      <c r="AW44" s="57">
        <f t="shared" si="10"/>
        <v>290</v>
      </c>
      <c r="AX44" s="57">
        <f t="shared" si="10"/>
        <v>290</v>
      </c>
      <c r="AY44" s="57">
        <f t="shared" si="10"/>
        <v>290</v>
      </c>
      <c r="AZ44" s="57">
        <f t="shared" si="10"/>
        <v>290</v>
      </c>
      <c r="BC44" s="322">
        <f>IF(BC12&gt;0,MATCH($BC$12,$BC$41:$BQ$41),0)</f>
        <v>4</v>
      </c>
      <c r="BI44" s="57" t="s">
        <v>269</v>
      </c>
      <c r="BJ44" s="57">
        <f>ROUND(($BC$12*EXP(-1*$BC$12*4.5/3600))/(1-EXP(-1*$BC$12*BJ45)),0)</f>
        <v>292</v>
      </c>
      <c r="BK44" s="57">
        <f t="shared" ref="BK44:BQ44" si="11">ROUND(($BC$12*EXP(-1*$BC$12*4.5/3600))/(1-EXP(-1*$BC$12*BK45)),0)</f>
        <v>292</v>
      </c>
      <c r="BL44" s="57">
        <f t="shared" si="11"/>
        <v>292</v>
      </c>
      <c r="BM44" s="57">
        <f t="shared" si="11"/>
        <v>292</v>
      </c>
      <c r="BN44" s="57">
        <f t="shared" si="11"/>
        <v>292</v>
      </c>
      <c r="BO44" s="57">
        <f t="shared" si="11"/>
        <v>292</v>
      </c>
      <c r="BP44" s="57">
        <f t="shared" si="11"/>
        <v>292</v>
      </c>
      <c r="BQ44" s="57">
        <f t="shared" si="11"/>
        <v>292</v>
      </c>
    </row>
    <row r="45" spans="2:69" s="15" customFormat="1" hidden="1" x14ac:dyDescent="0.25">
      <c r="I45" s="57" t="s">
        <v>270</v>
      </c>
      <c r="J45" s="57">
        <f>IF(Sheet1!O6=0,2.5,4.5)</f>
        <v>2.5</v>
      </c>
      <c r="K45" s="57">
        <f>J45</f>
        <v>2.5</v>
      </c>
      <c r="L45" s="57">
        <f>J45</f>
        <v>2.5</v>
      </c>
      <c r="M45" s="57">
        <f>J45</f>
        <v>2.5</v>
      </c>
      <c r="N45" s="57">
        <f>J45</f>
        <v>2.5</v>
      </c>
      <c r="O45" s="57">
        <f>J45</f>
        <v>2.5</v>
      </c>
      <c r="P45" s="57">
        <f>J45</f>
        <v>2.5</v>
      </c>
      <c r="Q45" s="57">
        <f>J45</f>
        <v>2.5</v>
      </c>
      <c r="AA45" s="57" t="s">
        <v>270</v>
      </c>
      <c r="AB45" s="57">
        <f>IF(Sheet1!T6=0,2.5,4.5)</f>
        <v>2.5</v>
      </c>
      <c r="AC45" s="57">
        <f>AB45</f>
        <v>2.5</v>
      </c>
      <c r="AD45" s="57">
        <f>AB45</f>
        <v>2.5</v>
      </c>
      <c r="AE45" s="57">
        <f>AB45</f>
        <v>2.5</v>
      </c>
      <c r="AF45" s="57">
        <f>AB45</f>
        <v>2.5</v>
      </c>
      <c r="AG45" s="57">
        <f>AB45</f>
        <v>2.5</v>
      </c>
      <c r="AH45" s="57">
        <f>AB45</f>
        <v>2.5</v>
      </c>
      <c r="AI45" s="57">
        <f>AB45</f>
        <v>2.5</v>
      </c>
      <c r="AR45" s="57" t="s">
        <v>270</v>
      </c>
      <c r="AS45" s="57">
        <f>IF(Sheet1!E6=0,2.5,4.5)</f>
        <v>2.5</v>
      </c>
      <c r="AT45" s="57">
        <f>AS45</f>
        <v>2.5</v>
      </c>
      <c r="AU45" s="57">
        <f>AS45</f>
        <v>2.5</v>
      </c>
      <c r="AV45" s="57">
        <f>AS45</f>
        <v>2.5</v>
      </c>
      <c r="AW45" s="57">
        <f>AS45</f>
        <v>2.5</v>
      </c>
      <c r="AX45" s="57">
        <f>AS45</f>
        <v>2.5</v>
      </c>
      <c r="AY45" s="57">
        <f>AS45</f>
        <v>2.5</v>
      </c>
      <c r="AZ45" s="57">
        <f>AS45</f>
        <v>2.5</v>
      </c>
      <c r="BI45" s="57" t="s">
        <v>270</v>
      </c>
      <c r="BJ45" s="57">
        <f>IF(Sheet1!J6=0,2.5,4.5)</f>
        <v>2.5</v>
      </c>
      <c r="BK45" s="57">
        <f>BJ45</f>
        <v>2.5</v>
      </c>
      <c r="BL45" s="57">
        <f>BJ45</f>
        <v>2.5</v>
      </c>
      <c r="BM45" s="57">
        <f>BJ45</f>
        <v>2.5</v>
      </c>
      <c r="BN45" s="57">
        <f>BJ45</f>
        <v>2.5</v>
      </c>
      <c r="BO45" s="57">
        <f>BJ45</f>
        <v>2.5</v>
      </c>
      <c r="BP45" s="57">
        <f>BJ45</f>
        <v>2.5</v>
      </c>
      <c r="BQ45" s="57">
        <f>BJ45</f>
        <v>2.5</v>
      </c>
    </row>
    <row r="46" spans="2:69" s="15" customFormat="1" hidden="1" x14ac:dyDescent="0.25">
      <c r="I46" s="57" t="s">
        <v>271</v>
      </c>
      <c r="J46" s="57">
        <f>IF(Sheet1!O6=0,0,1)</f>
        <v>0</v>
      </c>
      <c r="K46" s="57">
        <f>J46</f>
        <v>0</v>
      </c>
      <c r="L46" s="57">
        <f>J46</f>
        <v>0</v>
      </c>
      <c r="M46" s="57">
        <f>J46</f>
        <v>0</v>
      </c>
      <c r="N46" s="57">
        <f>J46</f>
        <v>0</v>
      </c>
      <c r="O46" s="57">
        <f>J46</f>
        <v>0</v>
      </c>
      <c r="P46" s="57">
        <f>J46</f>
        <v>0</v>
      </c>
      <c r="Q46" s="57">
        <f>J46</f>
        <v>0</v>
      </c>
      <c r="AA46" s="57" t="s">
        <v>271</v>
      </c>
      <c r="AB46" s="57">
        <f>IF(Sheet1!T6=0,0,1)</f>
        <v>0</v>
      </c>
      <c r="AC46" s="57">
        <f>AB46</f>
        <v>0</v>
      </c>
      <c r="AD46" s="57">
        <f>AB46</f>
        <v>0</v>
      </c>
      <c r="AE46" s="57">
        <f>AB46</f>
        <v>0</v>
      </c>
      <c r="AF46" s="57">
        <f>AB46</f>
        <v>0</v>
      </c>
      <c r="AG46" s="57">
        <f>AB46</f>
        <v>0</v>
      </c>
      <c r="AH46" s="57">
        <f>AB46</f>
        <v>0</v>
      </c>
      <c r="AI46" s="57">
        <f>AB46</f>
        <v>0</v>
      </c>
      <c r="AR46" s="57" t="s">
        <v>271</v>
      </c>
      <c r="AS46" s="57">
        <f>IF(Sheet1!E6=0,0,1)</f>
        <v>0</v>
      </c>
      <c r="AT46" s="57">
        <f>AS46</f>
        <v>0</v>
      </c>
      <c r="AU46" s="57">
        <f>AS46</f>
        <v>0</v>
      </c>
      <c r="AV46" s="57">
        <f>AS46</f>
        <v>0</v>
      </c>
      <c r="AW46" s="57">
        <f>AS46</f>
        <v>0</v>
      </c>
      <c r="AX46" s="57">
        <f>AS46</f>
        <v>0</v>
      </c>
      <c r="AY46" s="57">
        <f>AS46</f>
        <v>0</v>
      </c>
      <c r="AZ46" s="57">
        <f>AS46</f>
        <v>0</v>
      </c>
      <c r="BI46" s="57" t="s">
        <v>271</v>
      </c>
      <c r="BJ46" s="57">
        <f>IF(Sheet1!J6=0,0,1)</f>
        <v>0</v>
      </c>
      <c r="BK46" s="57">
        <f>BJ46</f>
        <v>0</v>
      </c>
      <c r="BL46" s="57">
        <f>BJ46</f>
        <v>0</v>
      </c>
      <c r="BM46" s="57">
        <f>BJ46</f>
        <v>0</v>
      </c>
      <c r="BN46" s="57">
        <f>BJ46</f>
        <v>0</v>
      </c>
      <c r="BO46" s="57">
        <f>BJ46</f>
        <v>0</v>
      </c>
      <c r="BP46" s="57">
        <f>BJ46</f>
        <v>0</v>
      </c>
      <c r="BQ46" s="57">
        <f>BJ46</f>
        <v>0</v>
      </c>
    </row>
    <row r="47" spans="2:69" s="15" customFormat="1" hidden="1" x14ac:dyDescent="0.25"/>
    <row r="48" spans="2:69" s="15" customFormat="1" hidden="1" x14ac:dyDescent="0.25">
      <c r="B48" s="448" t="s">
        <v>272</v>
      </c>
      <c r="C48" s="15" t="s">
        <v>273</v>
      </c>
      <c r="D48" s="15">
        <f>IF(C13&gt;=2,((C26-1)+EXP(-1*C26*C11*C35/600))/C26,0)</f>
        <v>0</v>
      </c>
      <c r="T48" s="448" t="s">
        <v>272</v>
      </c>
      <c r="U48" s="15" t="s">
        <v>273</v>
      </c>
      <c r="V48" s="15">
        <f>IF(U13&gt;=2,((U26-1)+EXP(-1*U26*U11*U35/600))/U26,0)</f>
        <v>0</v>
      </c>
      <c r="AK48" s="448" t="s">
        <v>272</v>
      </c>
      <c r="AL48" s="15" t="s">
        <v>273</v>
      </c>
      <c r="AM48" s="15">
        <f>IF(AL13&gt;=2,((AL26-1)+EXP(-1*AL26*AL11*AL35/600))/AL26,0)</f>
        <v>0</v>
      </c>
      <c r="BB48" s="448" t="s">
        <v>272</v>
      </c>
      <c r="BC48" s="15" t="s">
        <v>273</v>
      </c>
      <c r="BD48" s="15">
        <f>IF(BC13&gt;=2,((BC26-1)+EXP(-1*BC26*BC11*BC35/600))/BC26,0)</f>
        <v>0</v>
      </c>
    </row>
    <row r="49" spans="2:57" s="15" customFormat="1" hidden="1" x14ac:dyDescent="0.25">
      <c r="B49" s="448"/>
      <c r="C49" s="15" t="s">
        <v>274</v>
      </c>
      <c r="D49" s="15">
        <f>IF(SUM(Sheet1!N5:P5)=1,EXP(-0.02*(C35+10*C34)*C11*0.0444),0)</f>
        <v>0</v>
      </c>
      <c r="E49" s="15">
        <f>IF('Phase designation'!C22=2,MAX('Lane volumes'!D48:D50),1)</f>
        <v>0.66671304805518716</v>
      </c>
      <c r="T49" s="448"/>
      <c r="U49" s="15" t="s">
        <v>274</v>
      </c>
      <c r="V49" s="15">
        <f>IF(SUM(Sheet1!S5:U5)=1,EXP(-0.02*(U35+10*U34)*U11*0.0444),0)</f>
        <v>0</v>
      </c>
      <c r="W49" s="15">
        <f>IF('Phase designation'!U22=2,MAX('Lane volumes'!V48:V50),1)</f>
        <v>1</v>
      </c>
      <c r="AK49" s="448"/>
      <c r="AL49" s="15" t="s">
        <v>274</v>
      </c>
      <c r="AM49" s="15">
        <f>IF(SUM(Sheet1!D5:F5)=1,EXP(-0.02*(AL35+10*AL34)*AL11*0.0444),0)</f>
        <v>0</v>
      </c>
      <c r="AN49" s="15">
        <f>IF('Phase designation'!G22=2,MAX('Lane volumes'!AM48:AM50),1)</f>
        <v>0.5178965525338276</v>
      </c>
      <c r="BB49" s="448"/>
      <c r="BC49" s="15" t="s">
        <v>274</v>
      </c>
      <c r="BD49" s="15">
        <f>IF(SUM(Sheet1!I5:K5)=1,EXP(-0.02*(BC35+10*BC34)*BC11*0.0444),0)</f>
        <v>0</v>
      </c>
      <c r="BE49" s="15">
        <f>IF('Phase designation'!I22=2,MAX('Lane volumes'!BD48:BD50),1)</f>
        <v>0.50589796925987573</v>
      </c>
    </row>
    <row r="50" spans="2:57" s="15" customFormat="1" hidden="1" x14ac:dyDescent="0.25">
      <c r="B50" s="448"/>
      <c r="C50" s="15" t="s">
        <v>275</v>
      </c>
      <c r="D50" s="15">
        <f>((C26-1)+EXP(-1*C11*0.0444))/C26</f>
        <v>0.66671304805518716</v>
      </c>
      <c r="T50" s="448"/>
      <c r="U50" s="15" t="s">
        <v>275</v>
      </c>
      <c r="V50" s="15">
        <f>((U26-1)+EXP(-1*U11*0.0444))/U26</f>
        <v>0.66671304805518716</v>
      </c>
      <c r="AK50" s="448"/>
      <c r="AL50" s="15" t="s">
        <v>275</v>
      </c>
      <c r="AM50" s="15">
        <f>((AL26-1)+EXP(-1*AL11*0.0444))/AL26</f>
        <v>0.5178965525338276</v>
      </c>
      <c r="BB50" s="448"/>
      <c r="BC50" s="15" t="s">
        <v>275</v>
      </c>
      <c r="BD50" s="15">
        <f>((BC26-1)+EXP(-1*BC11*0.0444))/BC26</f>
        <v>0.50589796925987573</v>
      </c>
    </row>
    <row r="51" spans="2:57" s="15" customFormat="1" hidden="1" x14ac:dyDescent="0.25"/>
    <row r="52" spans="2:57" s="15" customFormat="1" hidden="1" x14ac:dyDescent="0.25">
      <c r="B52" s="448" t="s">
        <v>276</v>
      </c>
      <c r="C52" s="15" t="s">
        <v>277</v>
      </c>
      <c r="D52" s="15">
        <f>IF(C12&lt;1220,1/(1+(C34*(235+0.435*C12)/(1400-C12))),0)</f>
        <v>0.60714563711372305</v>
      </c>
      <c r="E52" s="15">
        <f>IF('Phase designation'!C22=3,MAX('Lane volumes'!D52:D53),1)</f>
        <v>1</v>
      </c>
      <c r="T52" s="448" t="s">
        <v>276</v>
      </c>
      <c r="U52" s="15" t="s">
        <v>277</v>
      </c>
      <c r="V52" s="15">
        <f>IF(U12&lt;1220,1/(1+(U34*(235+0.435*U12)/(1400-U12))),0)</f>
        <v>0.61728395061728392</v>
      </c>
      <c r="W52" s="15">
        <f>IF('Phase designation'!U22=3,MAX('Lane volumes'!V52:V53),1)</f>
        <v>1</v>
      </c>
      <c r="AK52" s="448" t="s">
        <v>276</v>
      </c>
      <c r="AL52" s="15" t="s">
        <v>277</v>
      </c>
      <c r="AM52" s="15">
        <f>IF(AL12&lt;1220,1/(1+(AL34*(235+0.435*AL12)/(1400-AL12))),0)</f>
        <v>0.40974277259276121</v>
      </c>
      <c r="AN52" s="15">
        <f>IF('Phase designation'!G22=3,MAX('Lane volumes'!AM52:AM53),1)</f>
        <v>1</v>
      </c>
      <c r="BB52" s="448" t="s">
        <v>276</v>
      </c>
      <c r="BC52" s="15" t="s">
        <v>277</v>
      </c>
      <c r="BD52" s="15">
        <f>IF(BC12&lt;1220,1/(1+(BC34*(235+0.435*BC12)/(1400-BC12))),0)</f>
        <v>0.55922518944766375</v>
      </c>
      <c r="BE52" s="15">
        <f>IF('Phase designation'!I22=3,MAX('Lane volumes'!BD52:BD53),1)</f>
        <v>1</v>
      </c>
    </row>
    <row r="53" spans="2:57" s="15" customFormat="1" hidden="1" x14ac:dyDescent="0.25">
      <c r="B53" s="448"/>
      <c r="C53" s="15" t="s">
        <v>278</v>
      </c>
      <c r="D53" s="15">
        <f>IF(C12&gt;=1220,1/(1+4.525*C34),0)</f>
        <v>0</v>
      </c>
      <c r="T53" s="448"/>
      <c r="U53" s="15" t="s">
        <v>278</v>
      </c>
      <c r="V53" s="15">
        <f>IF(U12&gt;=1220,1/(1+4.525*U34),0)</f>
        <v>0</v>
      </c>
      <c r="AK53" s="448"/>
      <c r="AL53" s="15" t="s">
        <v>278</v>
      </c>
      <c r="AM53" s="15">
        <f>IF(AL12&gt;=1220,1/(1+4.525*AL34),0)</f>
        <v>0</v>
      </c>
      <c r="BB53" s="448"/>
      <c r="BC53" s="15" t="s">
        <v>278</v>
      </c>
      <c r="BD53" s="15">
        <f>IF(BC12&gt;=1220,1/(1+4.525*BC34),0)</f>
        <v>0</v>
      </c>
    </row>
    <row r="54" spans="2:57" s="15" customFormat="1" hidden="1" x14ac:dyDescent="0.25"/>
    <row r="55" spans="2:57" s="15" customFormat="1" hidden="1" x14ac:dyDescent="0.25"/>
    <row r="56" spans="2:57" s="15" customFormat="1" hidden="1" x14ac:dyDescent="0.25">
      <c r="B56" s="326" t="s">
        <v>279</v>
      </c>
      <c r="C56" s="57">
        <f>IF(Sheet1!N4&gt;0,ROUND(Sheet1!N4/SUM(Sheet1!N4:P4),2),0)</f>
        <v>0.25</v>
      </c>
      <c r="D56" s="15">
        <f>IF(C13=0,0,1)</f>
        <v>1</v>
      </c>
      <c r="T56" s="326" t="s">
        <v>279</v>
      </c>
      <c r="U56" s="57">
        <f>IF(Sheet1!S4&gt;0,ROUND(Sheet1!S4/SUM(Sheet1!S4:U4),2),0)</f>
        <v>0.24</v>
      </c>
      <c r="V56" s="15">
        <f>IF(U13=0,U560,1)</f>
        <v>1</v>
      </c>
      <c r="AK56" s="326" t="s">
        <v>279</v>
      </c>
      <c r="AL56" s="57">
        <f>IF((Sheet1!D4+Sheet1!W4+Sheet1!Z4)&gt;0,ROUND((Sheet1!D4+Sheet1!W4+Sheet1!Z4)/SUM(Sheet1!D4:F4,Sheet1!W4:AB4),2),0)</f>
        <v>0.1</v>
      </c>
      <c r="AM56" s="15">
        <f>IF(AL13=0,AL560,1)</f>
        <v>1</v>
      </c>
      <c r="BB56" s="326" t="s">
        <v>279</v>
      </c>
      <c r="BC56" s="57">
        <f>IF((Sheet1!I4+Sheet1!AC4+Sheet1!AF4)&gt;0,ROUND((Sheet1!I4+Sheet1!AC4+Sheet1!AF4)/SUM(Sheet1!I4:K4,Sheet1!AC4:AE4,Sheet1!AF4:AH4),2),0)</f>
        <v>0.1</v>
      </c>
      <c r="BD56" s="15">
        <f>IF(BC13=0,BC560,1)</f>
        <v>1</v>
      </c>
    </row>
    <row r="57" spans="2:57" s="15" customFormat="1" hidden="1" x14ac:dyDescent="0.25">
      <c r="B57" s="326" t="s">
        <v>280</v>
      </c>
      <c r="C57" s="57">
        <f>IF(Sheet1!N4&gt;0,ROUND(Sheet1!N4/SUM(Sheet1!N4:P4),2),0)</f>
        <v>0.25</v>
      </c>
      <c r="D57" s="15">
        <f>IF(C13=0,C57,0)</f>
        <v>0</v>
      </c>
      <c r="T57" s="326" t="s">
        <v>280</v>
      </c>
      <c r="U57" s="57">
        <f>IF(Sheet1!S4&gt;0,ROUND(Sheet1!S4/SUM(Sheet1!S4:U4),2),0)</f>
        <v>0.24</v>
      </c>
      <c r="V57" s="15">
        <f>IF(U13=0,U57,0)</f>
        <v>0</v>
      </c>
      <c r="AK57" s="326" t="s">
        <v>280</v>
      </c>
      <c r="AL57" s="57">
        <f>IF((Sheet1!D4+Sheet1!W4+Sheet1!Z4)&gt;0,ROUND((Sheet1!D4+Sheet1!W4+Sheet1!Z4)/SUM(Sheet1!D4:F4,Sheet1!W4:AB4),2),0)</f>
        <v>0.1</v>
      </c>
      <c r="AM57" s="15">
        <f>IF(AL13=0,AL57,0)</f>
        <v>0</v>
      </c>
      <c r="BB57" s="326" t="s">
        <v>280</v>
      </c>
      <c r="BC57" s="57">
        <f>IF((Sheet1!I4+Sheet1!AC4+Sheet1!AF4)&gt;0,ROUND((Sheet1!I4+Sheet1!AC4+Sheet1!AF4)/SUM(Sheet1!I4:K4,Sheet1!AC4:AE4,Sheet1!AF4:AH4),2),0)</f>
        <v>0.1</v>
      </c>
      <c r="BD57" s="15">
        <f>IF(BC13=0,BC57,0)</f>
        <v>0</v>
      </c>
    </row>
    <row r="58" spans="2:57" s="15" customFormat="1" x14ac:dyDescent="0.25"/>
    <row r="59" spans="2:57" s="15" customFormat="1" x14ac:dyDescent="0.25"/>
    <row r="60" spans="2:57" s="15" customFormat="1" x14ac:dyDescent="0.25"/>
    <row r="61" spans="2:57" s="15" customFormat="1" x14ac:dyDescent="0.25"/>
    <row r="62" spans="2:57" s="15" customFormat="1" x14ac:dyDescent="0.25"/>
    <row r="63" spans="2:57" s="15" customFormat="1" x14ac:dyDescent="0.25"/>
    <row r="64" spans="2:57" s="15" customFormat="1" x14ac:dyDescent="0.25"/>
  </sheetData>
  <mergeCells count="20">
    <mergeCell ref="B2:E2"/>
    <mergeCell ref="T2:W2"/>
    <mergeCell ref="AK2:AN2"/>
    <mergeCell ref="BB2:BE2"/>
    <mergeCell ref="C40:I40"/>
    <mergeCell ref="U40:AA40"/>
    <mergeCell ref="AL40:AR40"/>
    <mergeCell ref="BC40:BI40"/>
    <mergeCell ref="B15:B16"/>
    <mergeCell ref="AK15:AK16"/>
    <mergeCell ref="B48:B50"/>
    <mergeCell ref="B52:B53"/>
    <mergeCell ref="T15:T16"/>
    <mergeCell ref="T48:T50"/>
    <mergeCell ref="T52:T53"/>
    <mergeCell ref="AK48:AK50"/>
    <mergeCell ref="AK52:AK53"/>
    <mergeCell ref="BB15:BB16"/>
    <mergeCell ref="BB48:BB50"/>
    <mergeCell ref="BB52:BB53"/>
  </mergeCells>
  <phoneticPr fontId="25" type="noConversion"/>
  <pageMargins left="0.7" right="0.7" top="0.75" bottom="0.75" header="0.3" footer="0.3"/>
  <pageSetup orientation="portrait" horizontalDpi="1200" verticalDpi="12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X160"/>
  <sheetViews>
    <sheetView topLeftCell="A52" zoomScale="70" zoomScaleNormal="70" workbookViewId="0">
      <selection activeCell="D36" sqref="D36"/>
    </sheetView>
  </sheetViews>
  <sheetFormatPr defaultColWidth="9.109375" defaultRowHeight="14.4" x14ac:dyDescent="0.25"/>
  <cols>
    <col min="1" max="2" width="9.109375" style="2"/>
    <col min="3" max="3" width="31.109375" style="2" customWidth="1"/>
    <col min="4" max="8" width="15.109375" style="2" customWidth="1"/>
    <col min="9" max="14" width="9.109375" style="2"/>
    <col min="15" max="16" width="9.109375" style="2" customWidth="1"/>
    <col min="17" max="17" width="9.109375" style="57" customWidth="1"/>
    <col min="18" max="19" width="9.109375" style="2" customWidth="1"/>
    <col min="20" max="20" width="10.6640625" style="2" customWidth="1"/>
    <col min="21" max="21" width="9.5546875" style="2" customWidth="1"/>
    <col min="22" max="25" width="9.109375" style="2" customWidth="1"/>
    <col min="26" max="30" width="13.6640625" style="2" customWidth="1"/>
    <col min="31" max="31" width="10.6640625" style="2" customWidth="1"/>
    <col min="32" max="33" width="25.6640625" style="185" customWidth="1"/>
    <col min="34" max="35" width="9.109375" style="185" customWidth="1"/>
    <col min="36" max="36" width="17" style="185" customWidth="1"/>
    <col min="37" max="37" width="9.109375" style="185" customWidth="1"/>
    <col min="38" max="40" width="9.109375" style="57" customWidth="1"/>
    <col min="41" max="41" width="17" style="57" customWidth="1"/>
    <col min="42" max="45" width="9.109375" style="57" customWidth="1"/>
    <col min="46" max="46" width="16.33203125" style="57" customWidth="1"/>
    <col min="47" max="49" width="9.109375" style="57" customWidth="1"/>
    <col min="50" max="61" width="9.109375" style="2" customWidth="1"/>
    <col min="62" max="62" width="7.6640625" style="2" customWidth="1"/>
    <col min="63" max="63" width="8.33203125" style="2" customWidth="1"/>
    <col min="64" max="64" width="20.5546875" style="2" customWidth="1"/>
    <col min="65" max="16384" width="9.109375" style="2"/>
  </cols>
  <sheetData>
    <row r="1" spans="2:76" x14ac:dyDescent="0.25">
      <c r="C1" s="445" t="s">
        <v>162</v>
      </c>
      <c r="D1" s="445"/>
      <c r="E1" s="445"/>
      <c r="F1" s="163"/>
      <c r="R1" s="202"/>
      <c r="S1" s="202"/>
      <c r="T1" s="202"/>
      <c r="U1" s="202"/>
      <c r="V1" s="202"/>
      <c r="W1" s="202"/>
      <c r="Z1" s="430" t="s">
        <v>281</v>
      </c>
      <c r="AA1" s="430"/>
      <c r="AB1" s="430"/>
      <c r="AC1" s="430"/>
      <c r="AD1" s="430"/>
    </row>
    <row r="2" spans="2:76" x14ac:dyDescent="0.25">
      <c r="C2" s="186" t="s">
        <v>113</v>
      </c>
      <c r="D2" s="187" t="s">
        <v>13</v>
      </c>
      <c r="E2" s="188" t="s">
        <v>14</v>
      </c>
      <c r="F2" s="189" t="s">
        <v>15</v>
      </c>
      <c r="G2" s="187" t="s">
        <v>18</v>
      </c>
      <c r="H2" s="188" t="s">
        <v>19</v>
      </c>
      <c r="I2" s="189" t="s">
        <v>20</v>
      </c>
      <c r="J2" s="187" t="s">
        <v>3</v>
      </c>
      <c r="K2" s="188" t="s">
        <v>4</v>
      </c>
      <c r="L2" s="189" t="s">
        <v>5</v>
      </c>
      <c r="M2" s="187" t="s">
        <v>8</v>
      </c>
      <c r="N2" s="188" t="s">
        <v>9</v>
      </c>
      <c r="O2" s="189" t="s">
        <v>10</v>
      </c>
      <c r="P2" s="194"/>
      <c r="R2" s="86"/>
      <c r="S2" s="223" t="s">
        <v>282</v>
      </c>
      <c r="T2" s="224">
        <f>'Input sheet'!V3</f>
        <v>1900</v>
      </c>
      <c r="U2" s="202"/>
      <c r="V2" s="86"/>
      <c r="W2" s="86"/>
      <c r="X2" s="18"/>
      <c r="Z2" s="252" t="s">
        <v>283</v>
      </c>
      <c r="AA2" s="253" t="s">
        <v>284</v>
      </c>
      <c r="AB2" s="253" t="s">
        <v>285</v>
      </c>
      <c r="AC2" s="253" t="s">
        <v>286</v>
      </c>
      <c r="AD2" s="253" t="s">
        <v>287</v>
      </c>
      <c r="AE2" s="252" t="s">
        <v>283</v>
      </c>
      <c r="AF2" s="254" t="s">
        <v>288</v>
      </c>
      <c r="AG2" s="266" t="s">
        <v>289</v>
      </c>
      <c r="AI2" s="185" t="s">
        <v>288</v>
      </c>
      <c r="AJ2" s="185" t="s">
        <v>290</v>
      </c>
      <c r="AK2" s="185" t="s">
        <v>291</v>
      </c>
      <c r="AO2" s="57" t="s">
        <v>292</v>
      </c>
      <c r="AP2" s="57" t="s">
        <v>291</v>
      </c>
      <c r="AT2" s="57" t="s">
        <v>293</v>
      </c>
      <c r="AU2" s="57" t="s">
        <v>291</v>
      </c>
      <c r="BJ2" s="2" t="s">
        <v>294</v>
      </c>
      <c r="BK2" s="2" t="s">
        <v>295</v>
      </c>
      <c r="BM2" s="2" t="s">
        <v>296</v>
      </c>
      <c r="BN2" s="2" t="s">
        <v>297</v>
      </c>
      <c r="BO2" s="2" t="s">
        <v>298</v>
      </c>
      <c r="BP2" s="2" t="s">
        <v>299</v>
      </c>
      <c r="BQ2" s="2" t="s">
        <v>300</v>
      </c>
      <c r="BR2" s="2" t="s">
        <v>301</v>
      </c>
      <c r="BS2" s="2" t="s">
        <v>302</v>
      </c>
      <c r="BT2" s="2" t="s">
        <v>303</v>
      </c>
      <c r="BU2" s="2" t="s">
        <v>304</v>
      </c>
      <c r="BV2" s="2" t="s">
        <v>305</v>
      </c>
      <c r="BW2" s="2" t="s">
        <v>306</v>
      </c>
      <c r="BX2" s="2" t="s">
        <v>307</v>
      </c>
    </row>
    <row r="3" spans="2:76" x14ac:dyDescent="0.25">
      <c r="C3" s="190" t="s">
        <v>168</v>
      </c>
      <c r="D3" s="191">
        <f>IF(SUM(D6:F6=0),0,'Phase designation'!C3)</f>
        <v>200</v>
      </c>
      <c r="E3" s="191">
        <f>'Phase designation'!D3</f>
        <v>500</v>
      </c>
      <c r="F3" s="192">
        <f>IF(SUM('Phase designation'!C19:I19)&gt;2,0,Sheet1!P4)</f>
        <v>100</v>
      </c>
      <c r="G3" s="191">
        <f>IF(SUM(G6:I6=0),0,'Phase designation'!E3)</f>
        <v>201</v>
      </c>
      <c r="H3" s="191">
        <f>'Phase designation'!F3</f>
        <v>500</v>
      </c>
      <c r="I3" s="192">
        <f>IF(SUM('Phase designation'!C19:I19)&gt;2,0,Sheet1!U4)</f>
        <v>120</v>
      </c>
      <c r="J3" s="191">
        <f>IF(SUM(J6:L6)=0,0,'Phase designation'!G3)</f>
        <v>75</v>
      </c>
      <c r="K3" s="191">
        <f>'Phase designation'!H3</f>
        <v>650</v>
      </c>
      <c r="L3" s="192">
        <f>IF(SUM('Phase designation'!C19:I19)&gt;2,0,Sheet1!F4+Sheet1!Y4+Sheet1!AB4)</f>
        <v>60</v>
      </c>
      <c r="M3" s="191">
        <f>IF(SUM(M6:O6)=0,0,'Phase designation'!I3)</f>
        <v>100</v>
      </c>
      <c r="N3" s="191">
        <f>'Phase designation'!J3</f>
        <v>850</v>
      </c>
      <c r="O3" s="192">
        <f>IF(SUM('Phase designation'!C19:I19)&gt;2,0,Sheet1!K4+Sheet1!AE4+Sheet1!AH4)</f>
        <v>100</v>
      </c>
      <c r="P3" s="194">
        <f>SUM(D3:O3)</f>
        <v>3456</v>
      </c>
      <c r="R3" s="86"/>
      <c r="S3" s="223" t="s">
        <v>308</v>
      </c>
      <c r="T3" s="224">
        <f>'Input sheet'!V5</f>
        <v>8</v>
      </c>
      <c r="U3" s="86"/>
      <c r="V3" s="86"/>
      <c r="W3" s="86"/>
      <c r="X3" s="18"/>
      <c r="Z3" s="255" t="s">
        <v>309</v>
      </c>
      <c r="AA3" s="179" t="s">
        <v>151</v>
      </c>
      <c r="AB3" s="179" t="s">
        <v>151</v>
      </c>
      <c r="AC3" s="179" t="s">
        <v>151</v>
      </c>
      <c r="AD3" s="179" t="s">
        <v>151</v>
      </c>
      <c r="AE3" s="255" t="s">
        <v>309</v>
      </c>
      <c r="AF3" s="185" t="str">
        <f>AA3&amp;" "&amp;AB3</f>
        <v>Permitted Permitted</v>
      </c>
      <c r="AG3" s="196" t="str">
        <f>AC3&amp;" "&amp;AD3</f>
        <v>Permitted Permitted</v>
      </c>
      <c r="AJ3" s="185" t="s">
        <v>283</v>
      </c>
      <c r="AK3" s="185">
        <v>1</v>
      </c>
      <c r="AL3" s="57">
        <v>2</v>
      </c>
      <c r="AM3" s="57">
        <v>3</v>
      </c>
      <c r="AO3" s="57" t="s">
        <v>283</v>
      </c>
      <c r="AP3" s="57">
        <v>1</v>
      </c>
      <c r="AQ3" s="57">
        <v>2</v>
      </c>
      <c r="AR3" s="57">
        <v>3</v>
      </c>
      <c r="AT3" s="57" t="s">
        <v>283</v>
      </c>
      <c r="AU3" s="57">
        <v>1</v>
      </c>
      <c r="AV3" s="57">
        <v>2</v>
      </c>
      <c r="AW3" s="57">
        <v>3</v>
      </c>
      <c r="BJ3" s="2">
        <f>MAX(G24,'Input sheet'!V8)</f>
        <v>80</v>
      </c>
      <c r="BK3" s="2">
        <f>'Input sheet'!V9</f>
        <v>150</v>
      </c>
      <c r="BM3" s="8">
        <f>BJ3</f>
        <v>80</v>
      </c>
      <c r="BN3" s="8">
        <f>IF(BJ3+10&lt;=$BK$3,BJ3+10,0)</f>
        <v>90</v>
      </c>
      <c r="BO3" s="8">
        <f>IF(BN3=0,0,IF(BN3+10&lt;=$BK$3,BN3+10,0))</f>
        <v>100</v>
      </c>
      <c r="BP3" s="8">
        <f t="shared" ref="BP3:BX3" si="0">IF(BO3=0,0,IF(BO3+10&lt;=$BK$3,BO3+10,0))</f>
        <v>110</v>
      </c>
      <c r="BQ3" s="8">
        <f t="shared" si="0"/>
        <v>120</v>
      </c>
      <c r="BR3" s="8">
        <f t="shared" si="0"/>
        <v>130</v>
      </c>
      <c r="BS3" s="8">
        <f t="shared" si="0"/>
        <v>140</v>
      </c>
      <c r="BT3" s="8">
        <f t="shared" si="0"/>
        <v>150</v>
      </c>
      <c r="BU3" s="8">
        <f t="shared" si="0"/>
        <v>0</v>
      </c>
      <c r="BV3" s="8">
        <f t="shared" si="0"/>
        <v>0</v>
      </c>
      <c r="BW3" s="8">
        <f t="shared" si="0"/>
        <v>0</v>
      </c>
      <c r="BX3" s="8">
        <f t="shared" si="0"/>
        <v>0</v>
      </c>
    </row>
    <row r="4" spans="2:76" x14ac:dyDescent="0.25">
      <c r="C4" s="164" t="s">
        <v>310</v>
      </c>
      <c r="D4" s="193">
        <f>Sheet1!N31</f>
        <v>1</v>
      </c>
      <c r="E4" s="189">
        <f>Sheet1!O31</f>
        <v>1</v>
      </c>
      <c r="F4" s="189">
        <f>E4</f>
        <v>1</v>
      </c>
      <c r="G4" s="193">
        <f>Sheet1!S31</f>
        <v>1</v>
      </c>
      <c r="H4" s="189">
        <f>Sheet1!T31</f>
        <v>1</v>
      </c>
      <c r="I4" s="189">
        <f>H4</f>
        <v>1</v>
      </c>
      <c r="J4" s="193">
        <f>Sheet1!D31</f>
        <v>1</v>
      </c>
      <c r="K4" s="189">
        <f>Sheet1!E31</f>
        <v>1</v>
      </c>
      <c r="L4" s="189">
        <f>K4</f>
        <v>1</v>
      </c>
      <c r="M4" s="193">
        <f>Sheet1!I31</f>
        <v>1</v>
      </c>
      <c r="N4" s="189">
        <f>Sheet1!J31</f>
        <v>1</v>
      </c>
      <c r="O4" s="189">
        <f>N4</f>
        <v>1</v>
      </c>
      <c r="P4" s="194">
        <f>AVERAGE(D4:N4)</f>
        <v>1</v>
      </c>
      <c r="R4" s="86"/>
      <c r="S4" s="225" t="s">
        <v>311</v>
      </c>
      <c r="T4" s="226">
        <f>100/(100+T3)</f>
        <v>0.92592592592592593</v>
      </c>
      <c r="U4" s="86"/>
      <c r="V4" s="86"/>
      <c r="W4" s="86"/>
      <c r="X4" s="84"/>
      <c r="Z4" s="255" t="s">
        <v>312</v>
      </c>
      <c r="AA4" s="179" t="s">
        <v>151</v>
      </c>
      <c r="AB4" s="179" t="s">
        <v>313</v>
      </c>
      <c r="AC4" s="179" t="s">
        <v>151</v>
      </c>
      <c r="AD4" s="179" t="s">
        <v>313</v>
      </c>
      <c r="AE4" s="255" t="s">
        <v>312</v>
      </c>
      <c r="AF4" s="185" t="str">
        <f t="shared" ref="AF4:AF11" si="1">AA4&amp;" "&amp;AB4</f>
        <v>Permitted Not opposed</v>
      </c>
      <c r="AG4" s="196" t="str">
        <f t="shared" ref="AG4:AG11" si="2">AC4&amp;" "&amp;AD4</f>
        <v>Permitted Not opposed</v>
      </c>
      <c r="AJ4" s="185" t="s">
        <v>309</v>
      </c>
      <c r="AK4" s="185">
        <v>4</v>
      </c>
      <c r="AO4" s="57" t="s">
        <v>309</v>
      </c>
      <c r="AP4" s="272" t="s">
        <v>314</v>
      </c>
      <c r="AQ4" s="272"/>
      <c r="AR4" s="272"/>
      <c r="AT4" s="57" t="s">
        <v>309</v>
      </c>
      <c r="AU4" s="57">
        <f>MAX(E16,H16,G16)</f>
        <v>167</v>
      </c>
      <c r="BM4" s="2" t="s">
        <v>315</v>
      </c>
      <c r="BN4" s="2" t="s">
        <v>316</v>
      </c>
      <c r="BO4" s="2" t="s">
        <v>317</v>
      </c>
      <c r="BP4" s="2" t="s">
        <v>318</v>
      </c>
      <c r="BQ4" s="2" t="s">
        <v>319</v>
      </c>
      <c r="BR4" s="2" t="s">
        <v>320</v>
      </c>
      <c r="BS4" s="2" t="s">
        <v>321</v>
      </c>
      <c r="BT4" s="2" t="s">
        <v>322</v>
      </c>
      <c r="BU4" s="2" t="s">
        <v>323</v>
      </c>
      <c r="BV4" s="2" t="s">
        <v>324</v>
      </c>
      <c r="BW4" s="2" t="s">
        <v>325</v>
      </c>
    </row>
    <row r="5" spans="2:76" x14ac:dyDescent="0.25">
      <c r="C5" s="57" t="s">
        <v>326</v>
      </c>
      <c r="D5" s="194">
        <f>ROUND(D3/D4,0)</f>
        <v>200</v>
      </c>
      <c r="E5" s="185">
        <f t="shared" ref="E5:O5" si="3">ROUND(E3/E4,0)</f>
        <v>500</v>
      </c>
      <c r="F5" s="185">
        <f t="shared" si="3"/>
        <v>100</v>
      </c>
      <c r="G5" s="194">
        <f t="shared" si="3"/>
        <v>201</v>
      </c>
      <c r="H5" s="185">
        <f t="shared" si="3"/>
        <v>500</v>
      </c>
      <c r="I5" s="185">
        <f t="shared" si="3"/>
        <v>120</v>
      </c>
      <c r="J5" s="194">
        <f t="shared" si="3"/>
        <v>75</v>
      </c>
      <c r="K5" s="185">
        <f t="shared" si="3"/>
        <v>650</v>
      </c>
      <c r="L5" s="185">
        <f t="shared" si="3"/>
        <v>60</v>
      </c>
      <c r="M5" s="194">
        <f t="shared" si="3"/>
        <v>100</v>
      </c>
      <c r="N5" s="185">
        <f t="shared" si="3"/>
        <v>850</v>
      </c>
      <c r="O5" s="185">
        <f t="shared" si="3"/>
        <v>100</v>
      </c>
      <c r="P5" s="194"/>
      <c r="R5" s="86"/>
      <c r="S5" s="86"/>
      <c r="T5" s="202" t="s">
        <v>327</v>
      </c>
      <c r="U5" s="86"/>
      <c r="V5" s="86"/>
      <c r="W5" s="86"/>
      <c r="X5" s="18"/>
      <c r="Z5" s="255" t="s">
        <v>328</v>
      </c>
      <c r="AA5" s="179" t="s">
        <v>313</v>
      </c>
      <c r="AB5" s="179" t="s">
        <v>151</v>
      </c>
      <c r="AC5" s="179" t="s">
        <v>313</v>
      </c>
      <c r="AD5" s="179" t="s">
        <v>151</v>
      </c>
      <c r="AE5" s="255" t="s">
        <v>328</v>
      </c>
      <c r="AF5" s="185" t="str">
        <f t="shared" si="1"/>
        <v>Not opposed Permitted</v>
      </c>
      <c r="AG5" s="196" t="str">
        <f t="shared" si="2"/>
        <v>Not opposed Permitted</v>
      </c>
      <c r="AJ5" s="185" t="s">
        <v>312</v>
      </c>
      <c r="AK5" s="185">
        <v>4</v>
      </c>
      <c r="AO5" s="57" t="s">
        <v>312</v>
      </c>
      <c r="AP5" s="272" t="s">
        <v>314</v>
      </c>
      <c r="AQ5" s="272"/>
      <c r="AR5" s="272"/>
      <c r="AT5" s="57" t="s">
        <v>312</v>
      </c>
      <c r="AU5" s="57">
        <f>MAX(E16,H16,G16)</f>
        <v>167</v>
      </c>
      <c r="BM5" s="2">
        <v>331.46</v>
      </c>
      <c r="BN5" s="2">
        <v>280.86</v>
      </c>
      <c r="BO5" s="2">
        <v>240.45</v>
      </c>
      <c r="BP5" s="2">
        <v>213.55</v>
      </c>
      <c r="BQ5" s="2">
        <v>194.64</v>
      </c>
      <c r="BR5" s="2">
        <v>182.54</v>
      </c>
      <c r="BS5" s="2">
        <v>176.35</v>
      </c>
      <c r="BT5" s="2">
        <v>171.72</v>
      </c>
      <c r="BU5" s="2">
        <v>165.62</v>
      </c>
      <c r="BV5" s="2">
        <v>164.35</v>
      </c>
      <c r="BW5" s="2">
        <v>0</v>
      </c>
      <c r="BX5" s="2">
        <v>0</v>
      </c>
    </row>
    <row r="6" spans="2:76" ht="15" customHeight="1" x14ac:dyDescent="0.25">
      <c r="C6" s="164" t="s">
        <v>329</v>
      </c>
      <c r="D6" s="193">
        <f>'Phase designation'!C6</f>
        <v>1</v>
      </c>
      <c r="E6" s="193">
        <f>'Phase designation'!D6</f>
        <v>3</v>
      </c>
      <c r="F6" s="189">
        <f>IF(SUM('Phase designation'!C19:I19)&gt;2,0,'Summary sheet'!U13)</f>
        <v>1</v>
      </c>
      <c r="G6" s="193">
        <f>'Phase designation'!E6</f>
        <v>1</v>
      </c>
      <c r="H6" s="193">
        <f>'Phase designation'!F6</f>
        <v>3</v>
      </c>
      <c r="I6" s="189">
        <f>IF(SUM('Phase designation'!C19:I19)&gt;2,0,'Summary sheet'!AA9)</f>
        <v>1</v>
      </c>
      <c r="J6" s="193">
        <f>'Phase designation'!G6</f>
        <v>1</v>
      </c>
      <c r="K6" s="193">
        <f>'Phase designation'!H6</f>
        <v>2</v>
      </c>
      <c r="L6" s="189">
        <f>IF(SUM('Phase designation'!C19:I19)&gt;2,0,'Summary sheet'!Y17)</f>
        <v>1</v>
      </c>
      <c r="M6" s="193">
        <f>'Phase designation'!I6</f>
        <v>1</v>
      </c>
      <c r="N6" s="193">
        <f>'Phase designation'!J6</f>
        <v>2</v>
      </c>
      <c r="O6" s="189">
        <f>IF(SUM('Phase designation'!C19:I19)&gt;2,0,'Summary sheet'!W4)</f>
        <v>1</v>
      </c>
      <c r="P6" s="194"/>
      <c r="R6" s="86"/>
      <c r="S6" s="457" t="s">
        <v>330</v>
      </c>
      <c r="T6" s="202">
        <v>1</v>
      </c>
      <c r="U6" s="202">
        <v>1</v>
      </c>
      <c r="V6" s="86"/>
      <c r="W6" s="86"/>
      <c r="X6" s="18"/>
      <c r="Z6" s="255" t="s">
        <v>331</v>
      </c>
      <c r="AA6" s="179" t="s">
        <v>151</v>
      </c>
      <c r="AB6" s="179" t="s">
        <v>149</v>
      </c>
      <c r="AC6" s="179" t="s">
        <v>151</v>
      </c>
      <c r="AD6" s="179" t="s">
        <v>149</v>
      </c>
      <c r="AE6" s="255" t="s">
        <v>331</v>
      </c>
      <c r="AF6" s="185" t="str">
        <f t="shared" si="1"/>
        <v>Permitted Protected</v>
      </c>
      <c r="AG6" s="196" t="str">
        <f t="shared" si="2"/>
        <v>Permitted Protected</v>
      </c>
      <c r="AJ6" s="185" t="s">
        <v>328</v>
      </c>
      <c r="AK6" s="185">
        <v>4</v>
      </c>
      <c r="AO6" s="57" t="s">
        <v>328</v>
      </c>
      <c r="AP6" s="272" t="s">
        <v>314</v>
      </c>
      <c r="AQ6" s="272"/>
      <c r="AR6" s="272"/>
      <c r="AT6" s="57" t="s">
        <v>328</v>
      </c>
      <c r="AU6" s="57">
        <f>MAX(E16,H16,G16)</f>
        <v>167</v>
      </c>
      <c r="BM6" s="8">
        <f>IF(BM5=0,"",BM5)</f>
        <v>331.46</v>
      </c>
      <c r="BN6" s="8">
        <f>IF(BN5=0,"",BN5)</f>
        <v>280.86</v>
      </c>
      <c r="BO6" s="8">
        <f t="shared" ref="BO6:BX6" si="4">IF(BO5=0,"",BO5)</f>
        <v>240.45</v>
      </c>
      <c r="BP6" s="8">
        <f t="shared" si="4"/>
        <v>213.55</v>
      </c>
      <c r="BQ6" s="8">
        <f t="shared" si="4"/>
        <v>194.64</v>
      </c>
      <c r="BR6" s="8">
        <f t="shared" si="4"/>
        <v>182.54</v>
      </c>
      <c r="BS6" s="8">
        <f t="shared" si="4"/>
        <v>176.35</v>
      </c>
      <c r="BT6" s="8">
        <f t="shared" si="4"/>
        <v>171.72</v>
      </c>
      <c r="BU6" s="8">
        <f t="shared" si="4"/>
        <v>165.62</v>
      </c>
      <c r="BV6" s="8">
        <f t="shared" si="4"/>
        <v>164.35</v>
      </c>
      <c r="BW6" s="8" t="str">
        <f t="shared" si="4"/>
        <v/>
      </c>
      <c r="BX6" s="8" t="str">
        <f t="shared" si="4"/>
        <v/>
      </c>
    </row>
    <row r="7" spans="2:76" x14ac:dyDescent="0.25">
      <c r="C7" s="57" t="s">
        <v>332</v>
      </c>
      <c r="D7" s="194">
        <f>IF(D6&gt;0,ROUND(D5/D6,0),0)</f>
        <v>200</v>
      </c>
      <c r="E7" s="185">
        <f t="shared" ref="E7:N7" si="5">IF(E6&gt;0,ROUND(E5/E6,0),0)</f>
        <v>167</v>
      </c>
      <c r="F7" s="185"/>
      <c r="G7" s="194">
        <f t="shared" si="5"/>
        <v>201</v>
      </c>
      <c r="H7" s="185">
        <f t="shared" si="5"/>
        <v>167</v>
      </c>
      <c r="I7" s="185"/>
      <c r="J7" s="194">
        <f t="shared" si="5"/>
        <v>75</v>
      </c>
      <c r="K7" s="185">
        <f t="shared" si="5"/>
        <v>325</v>
      </c>
      <c r="L7" s="185"/>
      <c r="M7" s="194">
        <f t="shared" si="5"/>
        <v>100</v>
      </c>
      <c r="N7" s="185">
        <f t="shared" si="5"/>
        <v>425</v>
      </c>
      <c r="O7" s="185"/>
      <c r="P7" s="194"/>
      <c r="R7" s="227"/>
      <c r="S7" s="457"/>
      <c r="T7" s="202">
        <v>2</v>
      </c>
      <c r="U7" s="202">
        <v>0.95199999999999996</v>
      </c>
      <c r="V7" s="86"/>
      <c r="W7" s="25"/>
      <c r="X7" s="18"/>
      <c r="Z7" s="255" t="s">
        <v>333</v>
      </c>
      <c r="AA7" s="179" t="s">
        <v>149</v>
      </c>
      <c r="AB7" s="179" t="s">
        <v>151</v>
      </c>
      <c r="AC7" s="179" t="s">
        <v>149</v>
      </c>
      <c r="AD7" s="179" t="s">
        <v>151</v>
      </c>
      <c r="AE7" s="255" t="s">
        <v>333</v>
      </c>
      <c r="AF7" s="185" t="str">
        <f t="shared" si="1"/>
        <v>Protected Permitted</v>
      </c>
      <c r="AG7" s="196" t="str">
        <f t="shared" si="2"/>
        <v>Protected Permitted</v>
      </c>
      <c r="AJ7" s="185" t="s">
        <v>331</v>
      </c>
      <c r="AK7" s="185">
        <v>4</v>
      </c>
      <c r="AL7" s="57">
        <v>4</v>
      </c>
      <c r="AO7" s="57" t="s">
        <v>331</v>
      </c>
      <c r="AP7" s="272" t="s">
        <v>334</v>
      </c>
      <c r="AQ7" s="272" t="s">
        <v>314</v>
      </c>
      <c r="AR7" s="272"/>
      <c r="AT7" s="57" t="s">
        <v>331</v>
      </c>
      <c r="AU7" s="57">
        <f>G16</f>
        <v>0</v>
      </c>
      <c r="AV7" s="57">
        <f>MAX(H16-G16,E16)</f>
        <v>167</v>
      </c>
    </row>
    <row r="8" spans="2:76" x14ac:dyDescent="0.25">
      <c r="C8" s="57" t="s">
        <v>335</v>
      </c>
      <c r="D8" s="194"/>
      <c r="E8" s="185"/>
      <c r="F8" s="185">
        <f>ROUND('Input sheet'!G17/100*F5,0)</f>
        <v>10</v>
      </c>
      <c r="G8" s="194"/>
      <c r="H8" s="185"/>
      <c r="I8" s="185">
        <f>ROUND('Input sheet'!N11/100*I5,0)</f>
        <v>12</v>
      </c>
      <c r="J8" s="194"/>
      <c r="K8" s="185"/>
      <c r="L8" s="185">
        <f>ROUND('Input sheet'!L22/100*L5,0)</f>
        <v>6</v>
      </c>
      <c r="M8" s="194"/>
      <c r="N8" s="185"/>
      <c r="O8" s="185">
        <f>ROUND('Input sheet'!H7/100*O5,0)</f>
        <v>10</v>
      </c>
      <c r="P8" s="194"/>
      <c r="R8" s="227"/>
      <c r="S8" s="457"/>
      <c r="T8" s="202"/>
      <c r="U8" s="202"/>
      <c r="V8" s="86"/>
      <c r="W8" s="25"/>
      <c r="X8" s="18"/>
      <c r="Z8" s="255" t="s">
        <v>336</v>
      </c>
      <c r="AA8" s="179" t="s">
        <v>337</v>
      </c>
      <c r="AB8" s="179" t="s">
        <v>149</v>
      </c>
      <c r="AC8" s="179" t="s">
        <v>337</v>
      </c>
      <c r="AD8" s="179" t="s">
        <v>149</v>
      </c>
      <c r="AE8" s="255" t="s">
        <v>336</v>
      </c>
      <c r="AF8" s="185" t="str">
        <f t="shared" si="1"/>
        <v>ProtectedA Protected</v>
      </c>
      <c r="AG8" s="196" t="str">
        <f t="shared" si="2"/>
        <v>ProtectedA Protected</v>
      </c>
      <c r="AJ8" s="185" t="s">
        <v>333</v>
      </c>
      <c r="AK8" s="185">
        <v>4</v>
      </c>
      <c r="AL8" s="57">
        <v>4</v>
      </c>
      <c r="AO8" s="57" t="s">
        <v>333</v>
      </c>
      <c r="AP8" s="272" t="s">
        <v>338</v>
      </c>
      <c r="AQ8" s="272" t="s">
        <v>314</v>
      </c>
      <c r="AR8" s="272"/>
      <c r="AT8" s="57" t="s">
        <v>333</v>
      </c>
      <c r="AU8" s="57">
        <f>D16</f>
        <v>0</v>
      </c>
      <c r="AV8" s="57">
        <f>MAX(E16-D16,H16)</f>
        <v>167</v>
      </c>
    </row>
    <row r="9" spans="2:76" x14ac:dyDescent="0.25">
      <c r="B9" s="2">
        <v>10</v>
      </c>
      <c r="C9" s="164" t="s">
        <v>339</v>
      </c>
      <c r="D9" s="193">
        <f>D5</f>
        <v>200</v>
      </c>
      <c r="E9" s="189">
        <f>IF(AND(F3&gt;0,F6=0),E5+F5,E5)</f>
        <v>500</v>
      </c>
      <c r="F9" s="189">
        <f>IF(AND(F3&gt;0,F6=0),0,F5-F8)</f>
        <v>90</v>
      </c>
      <c r="G9" s="193">
        <f>G5</f>
        <v>201</v>
      </c>
      <c r="H9" s="189">
        <f>IF(AND(I3&gt;0,I6=0),H5+I5,H5)</f>
        <v>500</v>
      </c>
      <c r="I9" s="189">
        <f>IF(AND(I3&gt;0,I6=0),0,I5-I8)</f>
        <v>108</v>
      </c>
      <c r="J9" s="193">
        <f>J5</f>
        <v>75</v>
      </c>
      <c r="K9" s="189">
        <f>IF(AND(L3&gt;0,L6=0),K5+L5,K5)</f>
        <v>650</v>
      </c>
      <c r="L9" s="189">
        <f>IF(AND(L3&gt;0,L6=0),0,L5-L8)</f>
        <v>54</v>
      </c>
      <c r="M9" s="193">
        <f>M5</f>
        <v>100</v>
      </c>
      <c r="N9" s="189">
        <f>IF(AND(O3&gt;0,O6=0),N5+O5,N5)</f>
        <v>850</v>
      </c>
      <c r="O9" s="189">
        <f>IF(AND(O3&gt;0,O6=0),0,O5-O8)</f>
        <v>90</v>
      </c>
      <c r="P9" s="194">
        <f>SUM(D9:O9)</f>
        <v>3418</v>
      </c>
      <c r="R9" s="227"/>
      <c r="S9" s="457"/>
      <c r="T9" s="202"/>
      <c r="U9" s="202"/>
      <c r="V9" s="86"/>
      <c r="W9" s="25"/>
      <c r="X9" s="18"/>
      <c r="Z9" s="255" t="s">
        <v>340</v>
      </c>
      <c r="AA9" s="179" t="s">
        <v>149</v>
      </c>
      <c r="AB9" s="179" t="s">
        <v>337</v>
      </c>
      <c r="AC9" s="179" t="s">
        <v>149</v>
      </c>
      <c r="AD9" s="179" t="s">
        <v>337</v>
      </c>
      <c r="AE9" s="255" t="s">
        <v>340</v>
      </c>
      <c r="AF9" s="185" t="str">
        <f t="shared" si="1"/>
        <v>Protected ProtectedA</v>
      </c>
      <c r="AG9" s="196" t="str">
        <f t="shared" si="2"/>
        <v>Protected ProtectedA</v>
      </c>
      <c r="AJ9" s="185" t="s">
        <v>336</v>
      </c>
      <c r="AK9" s="185">
        <v>4</v>
      </c>
      <c r="AL9" s="57">
        <v>0</v>
      </c>
      <c r="AM9" s="57">
        <v>4</v>
      </c>
      <c r="AO9" s="57" t="s">
        <v>336</v>
      </c>
      <c r="AP9" s="272" t="s">
        <v>341</v>
      </c>
      <c r="AQ9" s="272" t="s">
        <v>338</v>
      </c>
      <c r="AR9" s="272" t="s">
        <v>314</v>
      </c>
      <c r="AT9" s="57" t="s">
        <v>336</v>
      </c>
      <c r="AU9" s="57">
        <f>G16</f>
        <v>0</v>
      </c>
      <c r="AV9" s="57">
        <f>D16-G16</f>
        <v>0</v>
      </c>
      <c r="AW9" s="57">
        <f>MAX(H16,E16-(D16-G16))</f>
        <v>167</v>
      </c>
      <c r="BM9" s="2" t="s">
        <v>342</v>
      </c>
      <c r="BN9" s="177">
        <f>MIN(BM6:BX6)</f>
        <v>164.35</v>
      </c>
    </row>
    <row r="10" spans="2:76" x14ac:dyDescent="0.25">
      <c r="C10" s="57" t="s">
        <v>343</v>
      </c>
      <c r="D10" s="194">
        <f>IF(D6=0,1,LOOKUP(D6,$T$18:$T$19,$U$18:$U$19))</f>
        <v>1</v>
      </c>
      <c r="E10" s="185">
        <f>IF(E6=0,1,LOOKUP(E6,$T$6:$T$10,$U$6:$U$10))</f>
        <v>0.90800000000000003</v>
      </c>
      <c r="F10" s="185"/>
      <c r="G10" s="194">
        <f>IF(G6=0,1,LOOKUP(G6,$T$18:$T$19,$U$18:$U$19))</f>
        <v>1</v>
      </c>
      <c r="H10" s="185">
        <f>IF(H6=0,1,LOOKUP(H6,$T$6:$T$10,$U$6:$U$10))</f>
        <v>0.90800000000000003</v>
      </c>
      <c r="I10" s="185"/>
      <c r="J10" s="194">
        <f>IF(J6=0,1,LOOKUP(J6,$T$18:$T$19,$U$18:$U$19))</f>
        <v>1</v>
      </c>
      <c r="K10" s="185">
        <f>IF(K6=0,1,LOOKUP(K6,$T$6:$T$10,$U$6:$U$10))</f>
        <v>0.95199999999999996</v>
      </c>
      <c r="L10" s="185"/>
      <c r="M10" s="194">
        <f>IF(M6=0,1,LOOKUP(M6,$T$18:$T$19,$U$18:$U$19))</f>
        <v>1</v>
      </c>
      <c r="N10" s="185">
        <f>IF(N6=0,1,LOOKUP(N6,$T$6:$T$10,$U$6:$U$10))</f>
        <v>0.95199999999999996</v>
      </c>
      <c r="O10" s="185"/>
      <c r="P10" s="194"/>
      <c r="R10" s="227"/>
      <c r="S10" s="457"/>
      <c r="T10" s="202">
        <v>3</v>
      </c>
      <c r="U10" s="202">
        <v>0.90800000000000003</v>
      </c>
      <c r="V10" s="86"/>
      <c r="W10" s="25"/>
      <c r="X10" s="18"/>
      <c r="Z10" s="255">
        <v>4</v>
      </c>
      <c r="AA10" s="179" t="s">
        <v>313</v>
      </c>
      <c r="AB10" s="179" t="s">
        <v>313</v>
      </c>
      <c r="AC10" s="179" t="s">
        <v>313</v>
      </c>
      <c r="AD10" s="179" t="s">
        <v>313</v>
      </c>
      <c r="AE10" s="255">
        <v>4</v>
      </c>
      <c r="AF10" s="185" t="str">
        <f t="shared" si="1"/>
        <v>Not opposed Not opposed</v>
      </c>
      <c r="AG10" s="196" t="str">
        <f t="shared" si="2"/>
        <v>Not opposed Not opposed</v>
      </c>
      <c r="AJ10" s="185" t="s">
        <v>340</v>
      </c>
      <c r="AK10" s="185">
        <v>4</v>
      </c>
      <c r="AL10" s="57">
        <v>0</v>
      </c>
      <c r="AM10" s="57">
        <v>4</v>
      </c>
      <c r="AO10" s="57" t="s">
        <v>340</v>
      </c>
      <c r="AP10" s="272" t="s">
        <v>341</v>
      </c>
      <c r="AQ10" s="272" t="s">
        <v>334</v>
      </c>
      <c r="AR10" s="272" t="s">
        <v>314</v>
      </c>
      <c r="AT10" s="57" t="s">
        <v>340</v>
      </c>
      <c r="AU10" s="57">
        <f>D16</f>
        <v>0</v>
      </c>
      <c r="AV10" s="57">
        <f>G16-D16</f>
        <v>0</v>
      </c>
      <c r="AW10" s="57">
        <f>MAX(E16,H16-(G16-D16))</f>
        <v>167</v>
      </c>
      <c r="BM10" s="2" t="s">
        <v>344</v>
      </c>
      <c r="BN10" s="2">
        <f>IF(BN9=0,0,INDEX(BM3:BX3,MATCH(BN9,BM5:BX5,0)))</f>
        <v>0</v>
      </c>
    </row>
    <row r="11" spans="2:76" x14ac:dyDescent="0.25">
      <c r="C11" s="164" t="s">
        <v>345</v>
      </c>
      <c r="D11" s="193">
        <f>IF(D34=0,0,ROUND(D6*1530*D4*'Input sheet'!$W$7,0))</f>
        <v>0</v>
      </c>
      <c r="E11" s="189">
        <f>IF(E34=0,0,ROUND(E6*1530*E4*'Input sheet'!$W$7,0))</f>
        <v>4590</v>
      </c>
      <c r="F11" s="195">
        <f>IF(F34=0,0,ROUND(F6*1530*F4*'Input sheet'!$W$7,0))</f>
        <v>1530</v>
      </c>
      <c r="G11" s="193">
        <f>IF(G34=0,0,ROUND(G6*1530*G4*'Input sheet'!$W$7,0))</f>
        <v>0</v>
      </c>
      <c r="H11" s="189">
        <f>IF(H34=0,0,ROUND(H6*1530*H4*'Input sheet'!$W$7,0))</f>
        <v>4590</v>
      </c>
      <c r="I11" s="195">
        <f>IF(I34=0,0,ROUND(I6*1530*I4*'Input sheet'!$W$7,0))</f>
        <v>1530</v>
      </c>
      <c r="J11" s="193">
        <f>IF(J34=0,0,ROUND(J6*1530*J4*'Input sheet'!$W$7,0))</f>
        <v>0</v>
      </c>
      <c r="K11" s="189">
        <f>IF(K34=0,0,ROUND(K6*1530*K4*'Input sheet'!$W$7,0))</f>
        <v>3060</v>
      </c>
      <c r="L11" s="195">
        <f>IF(L34=0,0,ROUND(L6*1530*L4*'Input sheet'!$W$7,0))</f>
        <v>1530</v>
      </c>
      <c r="M11" s="193">
        <f>IF(M34=0,0,ROUND(M6*1530*M4*'Input sheet'!$W$7,0))</f>
        <v>0</v>
      </c>
      <c r="N11" s="189">
        <f>IF(N34=0,0,ROUND(N6*1530*N4*'Input sheet'!$W$7,0))</f>
        <v>3060</v>
      </c>
      <c r="O11" s="189">
        <f>IF(O34=0,0,ROUND(O6*1530*O4*'Input sheet'!$W$7,0))</f>
        <v>1530</v>
      </c>
      <c r="P11" s="185">
        <f>ROUND(1530*P4*'Input sheet'!W7,0)</f>
        <v>1530</v>
      </c>
      <c r="Q11" s="57" t="s">
        <v>346</v>
      </c>
      <c r="R11" s="57"/>
      <c r="S11" s="228"/>
      <c r="V11" s="86"/>
      <c r="W11" s="25"/>
      <c r="X11" s="86"/>
      <c r="Z11" s="256" t="s">
        <v>336</v>
      </c>
      <c r="AA11" s="165" t="s">
        <v>337</v>
      </c>
      <c r="AB11" s="165" t="s">
        <v>337</v>
      </c>
      <c r="AC11" s="165" t="s">
        <v>337</v>
      </c>
      <c r="AD11" s="165" t="s">
        <v>337</v>
      </c>
      <c r="AE11" s="256" t="s">
        <v>336</v>
      </c>
      <c r="AF11" s="257" t="str">
        <f t="shared" si="1"/>
        <v>ProtectedA ProtectedA</v>
      </c>
      <c r="AG11" s="267" t="str">
        <f t="shared" si="2"/>
        <v>ProtectedA ProtectedA</v>
      </c>
      <c r="AJ11" s="185">
        <v>4</v>
      </c>
      <c r="AK11" s="185">
        <v>4</v>
      </c>
      <c r="AL11" s="57">
        <v>4</v>
      </c>
      <c r="AO11" s="57">
        <v>4</v>
      </c>
      <c r="AP11" s="272" t="s">
        <v>338</v>
      </c>
      <c r="AQ11" s="272" t="s">
        <v>334</v>
      </c>
      <c r="AR11" s="272"/>
      <c r="AT11" s="57">
        <v>4</v>
      </c>
      <c r="AU11" s="57">
        <f>MAX(E16,D16)</f>
        <v>167</v>
      </c>
      <c r="AV11" s="57">
        <f>MAX(H16,G16)</f>
        <v>167</v>
      </c>
      <c r="BF11" s="179"/>
    </row>
    <row r="12" spans="2:76" s="57" customFormat="1" x14ac:dyDescent="0.25">
      <c r="C12" s="57" t="s">
        <v>347</v>
      </c>
      <c r="D12" s="194">
        <f>MAX(1,'Lane volumes'!C12)</f>
        <v>620</v>
      </c>
      <c r="E12" s="185"/>
      <c r="F12" s="185"/>
      <c r="G12" s="194">
        <f>MAX(1,'Lane volumes'!U12)</f>
        <v>600</v>
      </c>
      <c r="H12" s="185"/>
      <c r="I12" s="185"/>
      <c r="J12" s="194">
        <f>MAX(1,'Lane volumes'!AL12)</f>
        <v>950</v>
      </c>
      <c r="K12" s="185"/>
      <c r="L12" s="185"/>
      <c r="M12" s="194">
        <f>MAX(1,'Lane volumes'!BC12)</f>
        <v>710</v>
      </c>
      <c r="N12" s="185"/>
      <c r="O12" s="185"/>
      <c r="P12" s="194"/>
      <c r="S12" s="228"/>
      <c r="V12" s="86"/>
      <c r="W12" s="25"/>
      <c r="X12" s="86"/>
      <c r="AF12" s="185"/>
      <c r="AG12" s="185"/>
      <c r="AH12" s="185"/>
      <c r="AI12" s="185"/>
    </row>
    <row r="13" spans="2:76" s="57" customFormat="1" x14ac:dyDescent="0.25">
      <c r="C13" s="57" t="s">
        <v>348</v>
      </c>
      <c r="D13" s="194">
        <f>IF(AND(D6=0,D3&gt;0),4.5,2.5)</f>
        <v>2.5</v>
      </c>
      <c r="E13" s="185"/>
      <c r="F13" s="185"/>
      <c r="G13" s="194">
        <f>IF(AND(G6=0,G3&gt;0),4.5,2.5)</f>
        <v>2.5</v>
      </c>
      <c r="H13" s="185"/>
      <c r="I13" s="185"/>
      <c r="J13" s="194">
        <f>IF(AND(J6=0,J3&gt;0),4.5,2.5)</f>
        <v>2.5</v>
      </c>
      <c r="K13" s="185"/>
      <c r="L13" s="185"/>
      <c r="M13" s="194">
        <f>IF(AND(M6=0,M3&gt;0),4.5,2.5)</f>
        <v>2.5</v>
      </c>
      <c r="N13" s="185"/>
      <c r="O13" s="185"/>
      <c r="P13" s="194"/>
      <c r="S13" s="228"/>
      <c r="V13" s="86"/>
      <c r="W13" s="25"/>
      <c r="X13" s="86"/>
      <c r="Z13" s="57" t="s">
        <v>349</v>
      </c>
      <c r="AA13" s="57" t="str">
        <f>'Phase designation'!C23</f>
        <v>Permitted</v>
      </c>
      <c r="AB13" s="57" t="str">
        <f>'Phase designation'!E23</f>
        <v>Permitted</v>
      </c>
      <c r="AC13" s="57" t="str">
        <f>'Phase designation'!G23</f>
        <v>Permitted</v>
      </c>
      <c r="AD13" s="57" t="str">
        <f>'Phase designation'!I23</f>
        <v>Permitted</v>
      </c>
      <c r="AF13" s="185"/>
      <c r="AG13" s="185"/>
      <c r="AH13" s="185"/>
      <c r="AI13" s="185"/>
      <c r="AJ13" s="185"/>
      <c r="AK13" s="185"/>
    </row>
    <row r="14" spans="2:76" x14ac:dyDescent="0.25">
      <c r="C14" s="57" t="s">
        <v>350</v>
      </c>
      <c r="D14" s="194">
        <f>IF(E57+E59&gt;=1,ROUND(D10*$T$4*(D12*EXP(-1*D12*4.5/3600))/((1-EXP(-1*D12*D13/3600))),0),0)</f>
        <v>756</v>
      </c>
      <c r="E14" s="185">
        <f>E11</f>
        <v>4590</v>
      </c>
      <c r="F14" s="185">
        <f>F11</f>
        <v>1530</v>
      </c>
      <c r="G14" s="194">
        <f>IF(H57+H59&gt;=1,ROUND(G10*$T$4*(G12*EXP(-1*G12*4.5/3600))/((1-EXP(-1*G12*G13/3600))),0),0)</f>
        <v>770</v>
      </c>
      <c r="H14" s="185">
        <f>H11</f>
        <v>4590</v>
      </c>
      <c r="I14" s="185">
        <f>I11</f>
        <v>1530</v>
      </c>
      <c r="J14" s="194">
        <f>IF(K57+K59&gt;=1,ROUND(J10*$T$4*(J12*EXP(-1*J12*4.5/3600))/((1-EXP(-1*J12*J13/3600))),0),0)</f>
        <v>555</v>
      </c>
      <c r="K14" s="185">
        <f>K11</f>
        <v>3060</v>
      </c>
      <c r="L14" s="185">
        <f>L11</f>
        <v>1530</v>
      </c>
      <c r="M14" s="194">
        <f>IF(N57+N59&gt;=1,ROUND(M10*$T$4*(M12*EXP(-1*M12*4.5/3600))/((1-EXP(-1*M12*M13/3600))),0),0)</f>
        <v>695</v>
      </c>
      <c r="N14" s="185">
        <f>N11</f>
        <v>3060</v>
      </c>
      <c r="O14" s="185">
        <f>O11</f>
        <v>1530</v>
      </c>
      <c r="P14" s="194"/>
      <c r="R14" s="57"/>
      <c r="S14" s="228"/>
      <c r="V14" s="86"/>
      <c r="W14" s="25"/>
      <c r="X14" s="86"/>
      <c r="Z14" s="2" t="s">
        <v>351</v>
      </c>
      <c r="AA14" s="2">
        <f>IF(SUM(Sheet1!S5:U5)=0,1,0)</f>
        <v>0</v>
      </c>
      <c r="AB14" s="2">
        <f>IF(SUM(Sheet1!N5:P5)=0,1,0)</f>
        <v>0</v>
      </c>
      <c r="AC14" s="2">
        <f>IF(SUM(Sheet1!I5:K5,Sheet1!AC5:AH5)=0,1,0)</f>
        <v>0</v>
      </c>
      <c r="AD14" s="2">
        <f>IF(SUM(Sheet1!D5:F5,Sheet1!W5:AB5)=0,1,0)</f>
        <v>0</v>
      </c>
      <c r="AI14" s="175" t="s">
        <v>288</v>
      </c>
      <c r="AJ14" s="268" t="str">
        <f>AA21</f>
        <v>1a</v>
      </c>
      <c r="AK14" s="175"/>
      <c r="AL14" s="5"/>
      <c r="AM14" s="5"/>
    </row>
    <row r="15" spans="2:76" x14ac:dyDescent="0.25">
      <c r="C15" s="57" t="s">
        <v>352</v>
      </c>
      <c r="D15" s="194">
        <f>IF(D7+H7&gt;G7+E7,D7,0)</f>
        <v>0</v>
      </c>
      <c r="E15" s="185">
        <f>IF(E7+G7&gt;H7+D7,E7,0)</f>
        <v>167</v>
      </c>
      <c r="F15" s="185"/>
      <c r="G15" s="194">
        <f>IF(G7+E7&gt;D7+H7,G7,0)</f>
        <v>201</v>
      </c>
      <c r="H15" s="185">
        <f>IF(H7+D7&gt;E7+G7,H7,0)</f>
        <v>0</v>
      </c>
      <c r="I15" s="185"/>
      <c r="J15" s="194">
        <f>IF(J7+N7&gt;M7+K7,J7,0)</f>
        <v>75</v>
      </c>
      <c r="K15" s="185">
        <f>IF(K7+M7&gt;N7+J7,K7,0)</f>
        <v>0</v>
      </c>
      <c r="L15" s="185"/>
      <c r="M15" s="194">
        <f>IF(M7+K7&gt;J7+N7,M7,0)</f>
        <v>0</v>
      </c>
      <c r="N15" s="185">
        <f>IF(N7+J7&gt;K7+M7,N7,0)</f>
        <v>425</v>
      </c>
      <c r="O15" s="185"/>
      <c r="P15" s="194">
        <f>SUM(D15:N15)</f>
        <v>868</v>
      </c>
      <c r="R15" s="86"/>
      <c r="S15" s="140"/>
      <c r="T15" s="202"/>
      <c r="U15" s="202"/>
      <c r="V15" s="86"/>
      <c r="W15" s="25"/>
      <c r="X15" s="86"/>
      <c r="Z15" s="2" t="s">
        <v>353</v>
      </c>
      <c r="AA15" s="2" t="str">
        <f>IF(AA13="Prot+perm","Protected",AA13)</f>
        <v>Permitted</v>
      </c>
      <c r="AB15" s="2" t="str">
        <f>IF(AB13="Prot+perm","Protected",AB13)</f>
        <v>Permitted</v>
      </c>
      <c r="AC15" s="2" t="str">
        <f>IF(AC13="Prot+perm","Protected",AC13)</f>
        <v>Permitted</v>
      </c>
      <c r="AD15" s="2" t="str">
        <f>IF(AD13="Prot+perm","Protected",AD13)</f>
        <v>Permitted</v>
      </c>
      <c r="AJ15" s="175" t="s">
        <v>290</v>
      </c>
      <c r="AK15" s="175">
        <f>INDEX(AK4:AK11,MATCH($AJ$14,$AJ$4:$AJ$11,0))</f>
        <v>4</v>
      </c>
      <c r="AL15" s="175">
        <f>INDEX(AL4:AL11,MATCH($AJ$14,$AJ$4:$AJ$11,0))</f>
        <v>0</v>
      </c>
      <c r="AM15" s="175">
        <f>INDEX(AM4:AM11,MATCH($AJ$14,$AJ$4:$AJ$11,0))</f>
        <v>0</v>
      </c>
    </row>
    <row r="16" spans="2:76" s="57" customFormat="1" x14ac:dyDescent="0.25">
      <c r="C16" s="164" t="s">
        <v>354</v>
      </c>
      <c r="D16" s="193">
        <f>MAX('Lane volumes'!C16:E16)</f>
        <v>0</v>
      </c>
      <c r="E16" s="189">
        <f>IF(E6=0,0,ROUND(MAX('Lane volumes'!C31:E31,'Lane volumes'!C38:E38),0))</f>
        <v>167</v>
      </c>
      <c r="F16" s="189">
        <f>MAX('Lane volumes'!C8:D8)</f>
        <v>106</v>
      </c>
      <c r="G16" s="193">
        <f>MAX('Lane volumes'!U16:W16)</f>
        <v>0</v>
      </c>
      <c r="H16" s="189">
        <f>IF(H6=0,0,ROUND(MAX('Lane volumes'!U31:W31,'Lane volumes'!U38:W38),0))</f>
        <v>167</v>
      </c>
      <c r="I16" s="189">
        <f>MAX('Lane volumes'!U8:V8)</f>
        <v>127</v>
      </c>
      <c r="J16" s="193">
        <f>MAX('Lane volumes'!AL16:AN16)</f>
        <v>0</v>
      </c>
      <c r="K16" s="189">
        <f>IF(K6=0,0,ROUND(MAX('Lane volumes'!AL31:AN31,'Lane volumes'!AL38:AN38),0))</f>
        <v>325</v>
      </c>
      <c r="L16" s="189">
        <f>MAX('Lane volumes'!AL8:AM8)</f>
        <v>64</v>
      </c>
      <c r="M16" s="193">
        <f>MAX('Lane volumes'!BC16:BE16)</f>
        <v>0</v>
      </c>
      <c r="N16" s="189">
        <f>IF(N6=0,0,ROUND(MAX('Lane volumes'!BC31:BE31,'Lane volumes'!BC38:BE38),0))</f>
        <v>425</v>
      </c>
      <c r="O16" s="189">
        <f>MAX('Lane volumes'!BC8:BD8)</f>
        <v>106</v>
      </c>
      <c r="P16" s="194"/>
      <c r="R16" s="86"/>
      <c r="S16" s="140"/>
      <c r="T16" s="202"/>
      <c r="U16" s="202"/>
      <c r="V16" s="86"/>
      <c r="W16" s="25"/>
      <c r="X16" s="86"/>
      <c r="Z16" s="57" t="s">
        <v>355</v>
      </c>
      <c r="AA16" s="57" t="str">
        <f>IF(AND(AA15="Protected",AB15="Protected",D3&gt;=G3),"ProtectedA","Protected")</f>
        <v>Protected</v>
      </c>
      <c r="AB16" s="57" t="str">
        <f>IF(AND(AA15="Protected",AB15="Protected",G3&gt;=D3),"ProtectedA","Protected")</f>
        <v>Protected</v>
      </c>
      <c r="AC16" s="57" t="str">
        <f>IF(AND(AC15="Protected",AD15="Protected",J3&gt;=M3),"ProtectedA","Protected")</f>
        <v>Protected</v>
      </c>
      <c r="AD16" s="57" t="str">
        <f>IF(AND(AC15="Protected",AD15="Protected",M3&gt;=J3),"ProtectedA","Protected")</f>
        <v>Protected</v>
      </c>
      <c r="AF16" s="185"/>
      <c r="AG16" s="185"/>
      <c r="AH16" s="185"/>
      <c r="AI16" s="185"/>
      <c r="AJ16" s="175" t="s">
        <v>292</v>
      </c>
      <c r="AK16" s="175" t="str">
        <f>INDEX(AP4:AP11,MATCH($AJ$14,$AO$4:$AO$11,0))</f>
        <v>EBWBTH</v>
      </c>
      <c r="AL16" s="175">
        <f>INDEX(AQ4:AQ11,MATCH($AJ$14,$AO$4:$AO$11,0))</f>
        <v>0</v>
      </c>
      <c r="AM16" s="175">
        <f>INDEX(AR4:AR11,MATCH($AJ$14,$AO$4:$AO$11,0))</f>
        <v>0</v>
      </c>
    </row>
    <row r="17" spans="2:58" x14ac:dyDescent="0.25">
      <c r="C17" s="57" t="s">
        <v>356</v>
      </c>
      <c r="D17" s="462"/>
      <c r="E17" s="463"/>
      <c r="F17" s="464"/>
      <c r="G17" s="462"/>
      <c r="H17" s="463"/>
      <c r="I17" s="464"/>
      <c r="J17" s="462"/>
      <c r="K17" s="463"/>
      <c r="L17" s="464"/>
      <c r="M17" s="463"/>
      <c r="N17" s="463"/>
      <c r="O17" s="463"/>
      <c r="P17" s="185">
        <f>SUM(AK17:AM17,AK33:AM33)</f>
        <v>592</v>
      </c>
      <c r="Q17" s="57" t="s">
        <v>357</v>
      </c>
      <c r="R17" s="86"/>
      <c r="S17" s="140"/>
      <c r="T17" s="202"/>
      <c r="U17" s="202"/>
      <c r="V17" s="86"/>
      <c r="W17" s="25"/>
      <c r="X17" s="86"/>
      <c r="Z17" s="57" t="s">
        <v>358</v>
      </c>
      <c r="AA17" s="57" t="str">
        <f>IF(AND(AA14=1,AA15="Permitted"),"Not opposed",AA15)</f>
        <v>Permitted</v>
      </c>
      <c r="AB17" s="57" t="str">
        <f>IF(AND(AB14=1,AB15="Permitted"),"Not opposed",AB15)</f>
        <v>Permitted</v>
      </c>
      <c r="AC17" s="57" t="str">
        <f>IF(AND(AC14=1,AC15="Permitted"),"Not opposed",AC15)</f>
        <v>Permitted</v>
      </c>
      <c r="AD17" s="57" t="str">
        <f>IF(AND(AD14=1,AD15="Permitted"),"Not opposed",AD15)</f>
        <v>Permitted</v>
      </c>
      <c r="AJ17" s="175" t="s">
        <v>293</v>
      </c>
      <c r="AK17" s="175">
        <f>INDEX(AU4:AU11,MATCH($AJ$14,$AT$4:$AT$11,0))</f>
        <v>167</v>
      </c>
      <c r="AL17" s="175">
        <f>INDEX(AV4:AV11,MATCH($AJ$14,$AT$4:$AT$11,0))</f>
        <v>0</v>
      </c>
      <c r="AM17" s="175">
        <f>INDEX(AW4:AW11,MATCH($AJ$14,$AT$4:$AT$11,0))</f>
        <v>0</v>
      </c>
      <c r="BF17" s="179"/>
    </row>
    <row r="18" spans="2:58" x14ac:dyDescent="0.25">
      <c r="C18" s="57" t="s">
        <v>359</v>
      </c>
      <c r="D18" s="194">
        <f>'Phase designation'!C27</f>
        <v>0</v>
      </c>
      <c r="E18" s="185">
        <f>'Phase designation'!D27</f>
        <v>4</v>
      </c>
      <c r="F18" s="185"/>
      <c r="G18" s="194">
        <f>'Phase designation'!E27</f>
        <v>0</v>
      </c>
      <c r="H18" s="185">
        <f>'Phase designation'!F27</f>
        <v>8</v>
      </c>
      <c r="I18" s="185"/>
      <c r="J18" s="194">
        <f>'Phase designation'!G27</f>
        <v>0</v>
      </c>
      <c r="K18" s="185">
        <f>'Phase designation'!H27</f>
        <v>2</v>
      </c>
      <c r="L18" s="185"/>
      <c r="M18" s="194">
        <f>'Phase designation'!I27</f>
        <v>0</v>
      </c>
      <c r="N18" s="185">
        <f>'Phase designation'!J27</f>
        <v>6</v>
      </c>
      <c r="O18" s="185"/>
      <c r="P18" s="194"/>
      <c r="R18" s="86"/>
      <c r="S18" s="458" t="s">
        <v>360</v>
      </c>
      <c r="T18" s="41">
        <v>1</v>
      </c>
      <c r="U18" s="41">
        <v>1</v>
      </c>
      <c r="V18" s="89"/>
      <c r="W18" s="140"/>
      <c r="X18" s="88"/>
      <c r="Z18" s="5" t="s">
        <v>361</v>
      </c>
      <c r="AA18" s="5" t="str">
        <f>IF(AND(AA16="ProtectedA",AA17="Protected"),"ProtectedA",AA17)</f>
        <v>Permitted</v>
      </c>
      <c r="AB18" s="5" t="str">
        <f>IF(AND(AB16="ProtectedA",AB17="Protected"),"ProtectedA",AB17)</f>
        <v>Permitted</v>
      </c>
      <c r="AC18" s="5" t="str">
        <f>IF(AND(AC16="ProtectedA",AC17="Protected"),"ProtectedA",AC17)</f>
        <v>Permitted</v>
      </c>
      <c r="AD18" s="5" t="str">
        <f>IF(AND(AD16="ProtectedA",AD17="Protected"),"ProtectedA",AD17)</f>
        <v>Permitted</v>
      </c>
      <c r="AJ18" s="174" t="s">
        <v>362</v>
      </c>
      <c r="AK18" s="174">
        <f>IF(AK17=0,0,ROUND(($D$25-$D$23)*(AK17/$P$17)+AK15,1))</f>
        <v>24.3</v>
      </c>
      <c r="AL18" s="174">
        <f>IF(AL17=0,0,ROUND(($D$25-$D$23)*(AL17/$P$17)+AL15,1))</f>
        <v>0</v>
      </c>
      <c r="AM18" s="174">
        <f>IF(AM17=0,0,ROUND(($D$25-$D$23)*(AM17/$P$17)+AM15,1))</f>
        <v>0</v>
      </c>
    </row>
    <row r="19" spans="2:58" s="184" customFormat="1" x14ac:dyDescent="0.25">
      <c r="C19" s="197" t="s">
        <v>363</v>
      </c>
      <c r="D19" s="198">
        <f>'Phase designation'!C28</f>
        <v>4</v>
      </c>
      <c r="E19" s="199">
        <f>'Phase designation'!D28</f>
        <v>0</v>
      </c>
      <c r="F19" s="199">
        <f>E18</f>
        <v>4</v>
      </c>
      <c r="G19" s="198">
        <f>'Phase designation'!E28</f>
        <v>8</v>
      </c>
      <c r="H19" s="199">
        <f>'Phase designation'!F28</f>
        <v>0</v>
      </c>
      <c r="I19" s="199">
        <f>E18</f>
        <v>4</v>
      </c>
      <c r="J19" s="198">
        <f>'Phase designation'!G28</f>
        <v>2</v>
      </c>
      <c r="K19" s="199">
        <f>'Phase designation'!H28</f>
        <v>0</v>
      </c>
      <c r="L19" s="199">
        <f>K18</f>
        <v>2</v>
      </c>
      <c r="M19" s="198">
        <f>'Phase designation'!I28</f>
        <v>6</v>
      </c>
      <c r="N19" s="199">
        <f>'Phase designation'!J28</f>
        <v>0</v>
      </c>
      <c r="O19" s="199">
        <f>N18</f>
        <v>6</v>
      </c>
      <c r="P19" s="221"/>
      <c r="Q19" s="229"/>
      <c r="R19" s="230"/>
      <c r="S19" s="458"/>
      <c r="T19" s="231">
        <v>2</v>
      </c>
      <c r="U19" s="231">
        <v>0.97099999999999997</v>
      </c>
      <c r="V19" s="232"/>
      <c r="W19" s="233"/>
      <c r="X19" s="233"/>
      <c r="Z19" s="17" t="s">
        <v>364</v>
      </c>
      <c r="AA19" s="461" t="str">
        <f>IF(OR(AND(AA18="Not opposed",AB18="Protected"),AND(AB18="Not opposed",AA18="Protected")),"ProtectedA Protected",AA18&amp;" "&amp;AB18)</f>
        <v>Permitted Permitted</v>
      </c>
      <c r="AB19" s="461"/>
      <c r="AC19" s="461" t="str">
        <f>IF(OR(AND(AC18="Protected",AD18="Not opposed"),AND(AD18="Protected",AC18="Not opposed")),"Protected ProtectedA",AC18&amp;" "&amp;AD18)</f>
        <v>Permitted Permitted</v>
      </c>
      <c r="AD19" s="461"/>
      <c r="AF19" s="258"/>
      <c r="AG19" s="258"/>
      <c r="AH19" s="258"/>
      <c r="AI19" s="269" t="s">
        <v>289</v>
      </c>
      <c r="AJ19" s="185" t="s">
        <v>290</v>
      </c>
      <c r="AK19" s="185" t="s">
        <v>291</v>
      </c>
      <c r="AL19" s="57"/>
      <c r="AM19" s="57"/>
      <c r="AN19" s="57"/>
      <c r="AO19" s="57" t="s">
        <v>292</v>
      </c>
      <c r="AP19" s="57" t="s">
        <v>291</v>
      </c>
      <c r="AQ19" s="57"/>
      <c r="AR19" s="57"/>
      <c r="AS19" s="57"/>
      <c r="AT19" s="57" t="s">
        <v>293</v>
      </c>
      <c r="AU19" s="57" t="s">
        <v>291</v>
      </c>
      <c r="AV19" s="57"/>
      <c r="AW19" s="57"/>
    </row>
    <row r="20" spans="2:58" x14ac:dyDescent="0.25">
      <c r="C20" s="200" t="s">
        <v>365</v>
      </c>
      <c r="D20" s="185">
        <f>'Input sheet'!$V$6</f>
        <v>4</v>
      </c>
      <c r="E20" s="185">
        <f>'Input sheet'!$V$6</f>
        <v>4</v>
      </c>
      <c r="F20" s="185">
        <f>'Input sheet'!$V$6</f>
        <v>4</v>
      </c>
      <c r="G20" s="185">
        <f>'Input sheet'!$V$6</f>
        <v>4</v>
      </c>
      <c r="H20" s="185">
        <f>'Input sheet'!$V$6</f>
        <v>4</v>
      </c>
      <c r="I20" s="185">
        <f>'Input sheet'!$V$6</f>
        <v>4</v>
      </c>
      <c r="J20" s="185">
        <f>'Input sheet'!$V$6</f>
        <v>4</v>
      </c>
      <c r="K20" s="185">
        <f>'Input sheet'!$V$6</f>
        <v>4</v>
      </c>
      <c r="L20" s="185">
        <f>'Input sheet'!$V$6</f>
        <v>4</v>
      </c>
      <c r="M20" s="185">
        <f>'Input sheet'!$V$6</f>
        <v>4</v>
      </c>
      <c r="N20" s="185">
        <f>'Input sheet'!$V$6</f>
        <v>4</v>
      </c>
      <c r="O20" s="185">
        <f>'Input sheet'!$V$6</f>
        <v>4</v>
      </c>
      <c r="P20" s="185"/>
      <c r="R20" s="86"/>
      <c r="S20" s="39"/>
      <c r="T20" s="41"/>
      <c r="U20" s="41"/>
      <c r="V20" s="89"/>
      <c r="W20" s="155"/>
      <c r="X20" s="38"/>
      <c r="Z20" s="2" t="s">
        <v>366</v>
      </c>
      <c r="AA20" s="430">
        <f>MATCH(AA19,AF3:AF11,0)</f>
        <v>1</v>
      </c>
      <c r="AB20" s="430"/>
      <c r="AC20" s="430">
        <f>MATCH(AC19,AG3:AG11,0)</f>
        <v>1</v>
      </c>
      <c r="AD20" s="430"/>
      <c r="AJ20" s="185" t="s">
        <v>283</v>
      </c>
      <c r="AK20" s="185">
        <v>1</v>
      </c>
      <c r="AL20" s="57">
        <v>2</v>
      </c>
      <c r="AM20" s="57">
        <v>3</v>
      </c>
      <c r="AO20" s="57" t="s">
        <v>283</v>
      </c>
      <c r="AP20" s="57">
        <v>1</v>
      </c>
      <c r="AQ20" s="57">
        <v>2</v>
      </c>
      <c r="AR20" s="57">
        <v>3</v>
      </c>
      <c r="AT20" s="57" t="s">
        <v>283</v>
      </c>
      <c r="AU20" s="57">
        <v>1</v>
      </c>
      <c r="AV20" s="57">
        <v>2</v>
      </c>
      <c r="AW20" s="57">
        <v>3</v>
      </c>
    </row>
    <row r="21" spans="2:58" x14ac:dyDescent="0.25">
      <c r="C21" s="201"/>
      <c r="D21" s="194"/>
      <c r="E21" s="185"/>
      <c r="F21" s="185"/>
      <c r="G21" s="194"/>
      <c r="H21" s="185"/>
      <c r="I21" s="185"/>
      <c r="J21" s="194"/>
      <c r="K21" s="185"/>
      <c r="L21" s="185"/>
      <c r="M21" s="194"/>
      <c r="N21" s="185"/>
      <c r="O21" s="185"/>
      <c r="P21" s="194"/>
      <c r="R21" s="86"/>
      <c r="S21" s="141"/>
      <c r="T21" s="41"/>
      <c r="U21" s="41"/>
      <c r="V21" s="89"/>
      <c r="W21" s="89"/>
      <c r="X21" s="31"/>
      <c r="Z21" s="2" t="s">
        <v>283</v>
      </c>
      <c r="AA21" s="430" t="str">
        <f>INDEX(AE3:AE13,AA20)</f>
        <v>1a</v>
      </c>
      <c r="AB21" s="430"/>
      <c r="AC21" s="430" t="str">
        <f>INDEX(AE3:AE11,AC20)</f>
        <v>1a</v>
      </c>
      <c r="AD21" s="430"/>
      <c r="AJ21" s="185" t="s">
        <v>309</v>
      </c>
      <c r="AK21" s="185">
        <v>4</v>
      </c>
      <c r="AO21" s="57" t="s">
        <v>309</v>
      </c>
      <c r="AP21" s="272" t="s">
        <v>367</v>
      </c>
      <c r="AQ21" s="272"/>
      <c r="AR21" s="272"/>
      <c r="AT21" s="57" t="s">
        <v>309</v>
      </c>
      <c r="AU21" s="57">
        <f>MAX(K16,J16,N16,M16)</f>
        <v>425</v>
      </c>
    </row>
    <row r="22" spans="2:58" x14ac:dyDescent="0.25">
      <c r="C22" s="57"/>
      <c r="D22" s="57"/>
      <c r="E22" s="57"/>
      <c r="F22" s="57"/>
      <c r="G22" s="57"/>
      <c r="H22" s="202"/>
      <c r="I22" s="202"/>
      <c r="J22" s="202"/>
      <c r="K22" s="202"/>
      <c r="L22" s="202"/>
      <c r="M22" s="202"/>
      <c r="N22" s="202"/>
      <c r="O22" s="202"/>
      <c r="P22" s="57"/>
      <c r="R22" s="86"/>
      <c r="S22" s="141"/>
      <c r="T22" s="41"/>
      <c r="U22" s="42"/>
      <c r="V22" s="89"/>
      <c r="W22" s="202" t="s">
        <v>368</v>
      </c>
      <c r="X22" s="31"/>
      <c r="AJ22" s="185" t="s">
        <v>312</v>
      </c>
      <c r="AK22" s="185">
        <v>4</v>
      </c>
      <c r="AO22" s="57" t="s">
        <v>312</v>
      </c>
      <c r="AP22" s="272" t="s">
        <v>367</v>
      </c>
      <c r="AQ22" s="272"/>
      <c r="AR22" s="272"/>
      <c r="AT22" s="57" t="s">
        <v>312</v>
      </c>
      <c r="AU22" s="57">
        <f>MAX(K16,J16,N16,M16)</f>
        <v>425</v>
      </c>
    </row>
    <row r="23" spans="2:58" x14ac:dyDescent="0.25">
      <c r="C23" s="58" t="s">
        <v>369</v>
      </c>
      <c r="D23" s="58">
        <f>SUM(AK15:AM15,AK31:AM31)</f>
        <v>8</v>
      </c>
      <c r="G23" s="202"/>
      <c r="I23" s="202"/>
      <c r="N23" s="202"/>
      <c r="O23" s="202"/>
      <c r="P23" s="57"/>
      <c r="W23" s="202">
        <f>IF(P17&gt;=P11,140,D23/(1-(P17/P11)))</f>
        <v>13.049040511727078</v>
      </c>
      <c r="Z23" s="2" t="s">
        <v>370</v>
      </c>
      <c r="AA23" s="2" t="s">
        <v>371</v>
      </c>
      <c r="AB23" s="2" t="s">
        <v>372</v>
      </c>
      <c r="AC23" s="202" t="s">
        <v>373</v>
      </c>
      <c r="AD23" s="2" t="s">
        <v>374</v>
      </c>
      <c r="AJ23" s="185" t="s">
        <v>328</v>
      </c>
      <c r="AK23" s="185">
        <v>4</v>
      </c>
      <c r="AO23" s="57" t="s">
        <v>328</v>
      </c>
      <c r="AP23" s="272" t="s">
        <v>367</v>
      </c>
      <c r="AQ23" s="272"/>
      <c r="AR23" s="272"/>
      <c r="AT23" s="57" t="s">
        <v>328</v>
      </c>
      <c r="AU23" s="57">
        <f>MAX(K16,J16,N16,M16)</f>
        <v>425</v>
      </c>
    </row>
    <row r="24" spans="2:58" x14ac:dyDescent="0.25">
      <c r="B24" s="2">
        <v>11</v>
      </c>
      <c r="C24" s="44" t="s">
        <v>375</v>
      </c>
      <c r="D24" s="203">
        <f>D23/(1-(P17/P11))</f>
        <v>13.049040511727078</v>
      </c>
      <c r="E24" s="459" t="s">
        <v>376</v>
      </c>
      <c r="F24" s="459"/>
      <c r="G24" s="204">
        <f>W25</f>
        <v>80</v>
      </c>
      <c r="I24" s="202"/>
      <c r="N24" s="202"/>
      <c r="O24" s="202"/>
      <c r="P24" s="57"/>
      <c r="V24" s="202" t="s">
        <v>377</v>
      </c>
      <c r="W24" s="202" t="s">
        <v>294</v>
      </c>
      <c r="Z24" s="2">
        <v>-100000</v>
      </c>
      <c r="AA24" s="2">
        <v>0</v>
      </c>
      <c r="AB24" s="2">
        <f>'Input sheet'!V9</f>
        <v>150</v>
      </c>
      <c r="AC24" s="202">
        <f>W23</f>
        <v>13.049040511727078</v>
      </c>
      <c r="AD24" s="2">
        <f>LOOKUP(AC24,Z24:AA37,AB24:AB37)</f>
        <v>40</v>
      </c>
      <c r="AJ24" s="185" t="s">
        <v>331</v>
      </c>
      <c r="AK24" s="185">
        <v>4</v>
      </c>
      <c r="AL24" s="57">
        <v>4</v>
      </c>
      <c r="AO24" s="57" t="s">
        <v>331</v>
      </c>
      <c r="AP24" s="272" t="s">
        <v>378</v>
      </c>
      <c r="AQ24" s="272" t="s">
        <v>367</v>
      </c>
      <c r="AR24" s="272"/>
      <c r="AT24" s="57" t="s">
        <v>331</v>
      </c>
      <c r="AU24" s="57">
        <f>M16</f>
        <v>0</v>
      </c>
      <c r="AV24" s="57">
        <f>MAX(N16-M16,K16)</f>
        <v>425</v>
      </c>
    </row>
    <row r="25" spans="2:58" x14ac:dyDescent="0.25">
      <c r="C25" s="81" t="s">
        <v>379</v>
      </c>
      <c r="D25" s="81">
        <f>W27</f>
        <v>80</v>
      </c>
      <c r="E25" s="6">
        <f>W27</f>
        <v>80</v>
      </c>
      <c r="F25" s="57"/>
      <c r="G25" s="57"/>
      <c r="H25" s="202"/>
      <c r="I25" s="202"/>
      <c r="J25" s="202"/>
      <c r="K25" s="202"/>
      <c r="L25" s="202"/>
      <c r="M25" s="202"/>
      <c r="N25" s="202"/>
      <c r="O25" s="202"/>
      <c r="P25" s="57"/>
      <c r="R25" s="234"/>
      <c r="S25" s="234"/>
      <c r="T25" s="234"/>
      <c r="V25" s="2">
        <f>Phasing!L27</f>
        <v>78</v>
      </c>
      <c r="W25" s="202">
        <f>10*ROUNDUP(V25/10,0)</f>
        <v>80</v>
      </c>
      <c r="Z25" s="2">
        <v>0</v>
      </c>
      <c r="AA25" s="2">
        <v>40</v>
      </c>
      <c r="AB25" s="2">
        <f>'Input sheet'!V8</f>
        <v>40</v>
      </c>
      <c r="AJ25" s="185" t="s">
        <v>333</v>
      </c>
      <c r="AK25" s="185">
        <v>4</v>
      </c>
      <c r="AL25" s="57">
        <v>4</v>
      </c>
      <c r="AO25" s="57" t="s">
        <v>333</v>
      </c>
      <c r="AP25" s="272" t="s">
        <v>380</v>
      </c>
      <c r="AQ25" s="272" t="s">
        <v>367</v>
      </c>
      <c r="AR25" s="272"/>
      <c r="AT25" s="57" t="s">
        <v>333</v>
      </c>
      <c r="AU25" s="57">
        <f>J16</f>
        <v>0</v>
      </c>
      <c r="AV25" s="57">
        <f>MAX(K16-J16,N16)</f>
        <v>425</v>
      </c>
    </row>
    <row r="26" spans="2:58" x14ac:dyDescent="0.25">
      <c r="C26" s="57" t="s">
        <v>381</v>
      </c>
      <c r="D26" s="57">
        <f>D7</f>
        <v>200</v>
      </c>
      <c r="E26" s="57">
        <f>IF(AND(D18=0,D26&gt;0,E3=0),D26,E7)</f>
        <v>167</v>
      </c>
      <c r="F26" s="57"/>
      <c r="G26" s="57">
        <f>G7</f>
        <v>201</v>
      </c>
      <c r="H26" s="57">
        <f>IF(AND(G18=0,G26&gt;0,H3=0),G26,H7)</f>
        <v>167</v>
      </c>
      <c r="I26" s="57"/>
      <c r="J26" s="57">
        <f>J7</f>
        <v>75</v>
      </c>
      <c r="K26" s="57">
        <f>IF(AND(J18=0,J26&gt;0,K3=0),J26,K7)</f>
        <v>325</v>
      </c>
      <c r="L26" s="57"/>
      <c r="M26" s="57">
        <f>M7</f>
        <v>100</v>
      </c>
      <c r="N26" s="57">
        <f>IF(AND(M18=0,M26&gt;0,N3=0),M26,N7)</f>
        <v>425</v>
      </c>
      <c r="O26" s="57"/>
      <c r="P26" s="57"/>
      <c r="W26" s="57" t="s">
        <v>382</v>
      </c>
      <c r="Z26" s="2">
        <f>AA25+0.001</f>
        <v>40.000999999999998</v>
      </c>
      <c r="AA26" s="2">
        <f>AA25+10</f>
        <v>50</v>
      </c>
      <c r="AB26" s="2">
        <f>AB25+10</f>
        <v>50</v>
      </c>
      <c r="AJ26" s="185" t="s">
        <v>336</v>
      </c>
      <c r="AK26" s="185">
        <v>4</v>
      </c>
      <c r="AL26" s="57">
        <v>0</v>
      </c>
      <c r="AM26" s="57">
        <v>4</v>
      </c>
      <c r="AO26" s="57" t="s">
        <v>336</v>
      </c>
      <c r="AP26" s="272" t="s">
        <v>383</v>
      </c>
      <c r="AQ26" s="272" t="s">
        <v>380</v>
      </c>
      <c r="AR26" s="272" t="s">
        <v>367</v>
      </c>
      <c r="AT26" s="57" t="s">
        <v>336</v>
      </c>
      <c r="AU26" s="57">
        <f>M16</f>
        <v>0</v>
      </c>
      <c r="AV26" s="57">
        <f>J16-M16</f>
        <v>0</v>
      </c>
      <c r="AW26" s="57">
        <f>MAX(N16,K16-(J16-M16))</f>
        <v>425</v>
      </c>
    </row>
    <row r="27" spans="2:58" x14ac:dyDescent="0.25">
      <c r="C27" s="57" t="s">
        <v>384</v>
      </c>
      <c r="D27" s="57">
        <f>IF(D18=0,0,MATCH(D26,'Max greens'!$B:$B))</f>
        <v>0</v>
      </c>
      <c r="E27" s="57">
        <f>IF(E18=0,0,MATCH(E26,'Max greens'!$B:$B))</f>
        <v>9</v>
      </c>
      <c r="F27" s="57"/>
      <c r="G27" s="57">
        <f>IF(G18=0,0,MATCH(G26,'Max greens'!$B:$B))</f>
        <v>0</v>
      </c>
      <c r="H27" s="57">
        <f>IF(H18=0,0,MATCH(H26,'Max greens'!$B:$B))</f>
        <v>9</v>
      </c>
      <c r="I27" s="57"/>
      <c r="J27" s="57">
        <f>IF(J18=0,0,MATCH(J26,'Max greens'!$B:$B))</f>
        <v>0</v>
      </c>
      <c r="K27" s="57">
        <f>IF(K18=0,0,MATCH(K26,'Max greens'!$B:$B))</f>
        <v>11</v>
      </c>
      <c r="L27" s="57"/>
      <c r="M27" s="57">
        <f>IF(M18=0,0,MATCH(M26,'Max greens'!$B:$B))</f>
        <v>0</v>
      </c>
      <c r="N27" s="57">
        <f>IF(N18=0,0,MATCH(N26,'Max greens'!$B:$B))</f>
        <v>12</v>
      </c>
      <c r="O27" s="57"/>
      <c r="P27" s="57"/>
      <c r="R27" s="235"/>
      <c r="S27" s="439" t="s">
        <v>213</v>
      </c>
      <c r="T27" s="439"/>
      <c r="U27" s="439"/>
      <c r="V27" s="439"/>
      <c r="W27" s="57">
        <f>IF(MAX(W25,AD24)&gt;='Input sheet'!V9,'Input sheet'!V9,MAX(W25,AD24))</f>
        <v>80</v>
      </c>
      <c r="Z27" s="2">
        <f t="shared" ref="Z27:Z36" si="6">AA26+0.001</f>
        <v>50.000999999999998</v>
      </c>
      <c r="AA27" s="2">
        <f t="shared" ref="AA27:AA36" si="7">AA26+10</f>
        <v>60</v>
      </c>
      <c r="AB27" s="2">
        <f t="shared" ref="AB27:AB36" si="8">AB26+10</f>
        <v>60</v>
      </c>
      <c r="AJ27" s="185" t="s">
        <v>340</v>
      </c>
      <c r="AK27" s="185">
        <v>4</v>
      </c>
      <c r="AL27" s="57">
        <v>0</v>
      </c>
      <c r="AM27" s="57">
        <v>4</v>
      </c>
      <c r="AO27" s="57" t="s">
        <v>340</v>
      </c>
      <c r="AP27" s="272" t="s">
        <v>383</v>
      </c>
      <c r="AQ27" s="272" t="s">
        <v>378</v>
      </c>
      <c r="AR27" s="272" t="s">
        <v>367</v>
      </c>
      <c r="AT27" s="57" t="s">
        <v>340</v>
      </c>
      <c r="AU27" s="57">
        <f>J16</f>
        <v>0</v>
      </c>
      <c r="AV27" s="57">
        <f>M16-J16</f>
        <v>0</v>
      </c>
      <c r="AW27" s="57">
        <f>MAX(K16,N16-(M16-J16))</f>
        <v>425</v>
      </c>
    </row>
    <row r="28" spans="2:58" x14ac:dyDescent="0.25">
      <c r="C28" s="57" t="s">
        <v>385</v>
      </c>
      <c r="D28" s="57">
        <f>IF(SUM('Phase designation'!C19:I19)&gt;2,0,MATCH($D$25,'Max greens'!5:5))</f>
        <v>7</v>
      </c>
      <c r="E28" s="57">
        <f>IF(SUM('Phase designation'!C19:I19)&gt;2,0,MATCH($D$25,'Max greens'!5:5))</f>
        <v>7</v>
      </c>
      <c r="F28" s="57"/>
      <c r="G28" s="57">
        <f>IF(SUM('Phase designation'!C19:I19)&gt;2,0,MATCH($D$25,'Max greens'!5:5))</f>
        <v>7</v>
      </c>
      <c r="H28" s="57">
        <f>IF(SUM('Phase designation'!C19:I19)&gt;2,0,MATCH($D$25,'Max greens'!5:5))</f>
        <v>7</v>
      </c>
      <c r="I28" s="57"/>
      <c r="J28" s="57">
        <f>IF(SUM('Phase designation'!C19:I19)&gt;2,0,MATCH($D$25,'Max greens'!5:5))</f>
        <v>7</v>
      </c>
      <c r="K28" s="57">
        <f>IF(SUM('Phase designation'!C19:I19)&gt;2,0,MATCH($D$25,'Max greens'!5:5))</f>
        <v>7</v>
      </c>
      <c r="L28" s="57"/>
      <c r="M28" s="57">
        <f>IF(SUM('Phase designation'!C19:I19)&gt;2,0,MATCH($D$25,'Max greens'!5:5))</f>
        <v>7</v>
      </c>
      <c r="N28" s="57">
        <f>IF(SUM('Phase designation'!C19:I19)&gt;2,0,MATCH($D$25,'Max greens'!5:5))</f>
        <v>7</v>
      </c>
      <c r="O28" s="57"/>
      <c r="P28" s="57"/>
      <c r="R28" s="236"/>
      <c r="S28" s="237" t="str">
        <f>'Phase designation'!L35</f>
        <v/>
      </c>
      <c r="T28" s="237" t="str">
        <f>'Phase designation'!M35</f>
        <v>b</v>
      </c>
      <c r="U28" s="237" t="str">
        <f>'Phase designation'!N35</f>
        <v/>
      </c>
      <c r="V28" s="237"/>
      <c r="Z28" s="2">
        <f t="shared" si="6"/>
        <v>60.000999999999998</v>
      </c>
      <c r="AA28" s="2">
        <f t="shared" si="7"/>
        <v>70</v>
      </c>
      <c r="AB28" s="2">
        <f t="shared" si="8"/>
        <v>70</v>
      </c>
      <c r="AJ28" s="185">
        <v>4</v>
      </c>
      <c r="AK28" s="185">
        <v>4</v>
      </c>
      <c r="AL28" s="57">
        <v>4</v>
      </c>
      <c r="AO28" s="57">
        <v>4</v>
      </c>
      <c r="AP28" s="272" t="s">
        <v>380</v>
      </c>
      <c r="AQ28" s="272" t="s">
        <v>378</v>
      </c>
      <c r="AR28" s="272"/>
      <c r="AT28" s="57">
        <v>4</v>
      </c>
      <c r="AU28" s="57">
        <f>MAX(K16,J16)</f>
        <v>325</v>
      </c>
      <c r="AV28" s="57">
        <f>MAX(N16,M16)</f>
        <v>425</v>
      </c>
    </row>
    <row r="29" spans="2:58" x14ac:dyDescent="0.25">
      <c r="B29" s="2">
        <v>12</v>
      </c>
      <c r="C29" s="57" t="s">
        <v>89</v>
      </c>
      <c r="D29" s="205">
        <f>MAX(INDEX('Max greens'!1:1048576,D27,D28),D34-D35-D36)</f>
        <v>80</v>
      </c>
      <c r="E29" s="205">
        <f>MAX(INDEX('Max greens'!1:1048576,E27,E28),E34-E35-E36)</f>
        <v>29.900000000000002</v>
      </c>
      <c r="F29" s="205">
        <f>E29</f>
        <v>29.900000000000002</v>
      </c>
      <c r="G29" s="205">
        <f>MAX(INDEX('Max greens'!1:1048576,G27,G28),G34-G35-G36)</f>
        <v>80</v>
      </c>
      <c r="H29" s="205">
        <f>MAX(INDEX('Max greens'!1:1048576,H27,H28),H34-H35-H36)</f>
        <v>29.900000000000002</v>
      </c>
      <c r="I29" s="205">
        <f>H29</f>
        <v>29.900000000000002</v>
      </c>
      <c r="J29" s="205">
        <f>MAX(INDEX('Max greens'!1:1048576,J27,J28),J34-J35-J36)</f>
        <v>80</v>
      </c>
      <c r="K29" s="205">
        <f>MAX(INDEX('Max greens'!1:1048576,K27,K28),K34-K35-K36)</f>
        <v>38.299999999999997</v>
      </c>
      <c r="L29" s="205">
        <f>K29</f>
        <v>38.299999999999997</v>
      </c>
      <c r="M29" s="205">
        <f>MAX(INDEX('Max greens'!1:1048576,M27,M28),M34-M35-M36)</f>
        <v>80</v>
      </c>
      <c r="N29" s="205">
        <f>MAX(INDEX('Max greens'!1:1048576,N27,N28),N34-N35-N36)</f>
        <v>38.299999999999997</v>
      </c>
      <c r="O29" s="205">
        <f>N29</f>
        <v>38.299999999999997</v>
      </c>
      <c r="P29" s="57"/>
      <c r="R29" s="162" t="s">
        <v>199</v>
      </c>
      <c r="S29" s="81">
        <f>'Phase designation'!L36</f>
        <v>0</v>
      </c>
      <c r="T29" s="81">
        <f>'Phase designation'!M36</f>
        <v>2</v>
      </c>
      <c r="U29" s="81">
        <f>'Phase designation'!N36</f>
        <v>0</v>
      </c>
      <c r="V29" s="81">
        <f>'Phase designation'!O36</f>
        <v>4</v>
      </c>
      <c r="Z29" s="2">
        <f t="shared" si="6"/>
        <v>70.001000000000005</v>
      </c>
      <c r="AA29" s="2">
        <f t="shared" si="7"/>
        <v>80</v>
      </c>
      <c r="AB29" s="2">
        <f t="shared" si="8"/>
        <v>80</v>
      </c>
    </row>
    <row r="30" spans="2:58" x14ac:dyDescent="0.25">
      <c r="C30" s="57" t="s">
        <v>386</v>
      </c>
      <c r="D30" s="57">
        <f>IF(SUM('Phase designation'!C19:I19)&gt;2,0,AR48)</f>
        <v>0</v>
      </c>
      <c r="E30" s="57">
        <f>IF(SUM('Phase designation'!C19:I19)&gt;2,0,AS48)</f>
        <v>24.3</v>
      </c>
      <c r="F30" s="57">
        <f>IF(SUM('Phase designation'!C19:I19)&gt;2,0,AT48)</f>
        <v>24.3</v>
      </c>
      <c r="G30" s="57">
        <f>IF(SUM('Phase designation'!C19:I19)&gt;2,0,AU48)</f>
        <v>0</v>
      </c>
      <c r="H30" s="57">
        <f>IF(SUM('Phase designation'!C19:I19)&gt;2,0,AV48)</f>
        <v>24.3</v>
      </c>
      <c r="I30" s="57">
        <f>IF(SUM('Phase designation'!C19:I19)&gt;2,0,AW48)</f>
        <v>24.3</v>
      </c>
      <c r="J30" s="57">
        <f>IF(SUM('Phase designation'!C19:I19)&gt;2,0,AX48)</f>
        <v>0</v>
      </c>
      <c r="K30" s="57">
        <f>IF(SUM('Phase designation'!C19:I19)&gt;2,0,AY48)</f>
        <v>55.7</v>
      </c>
      <c r="L30" s="57">
        <f>IF(SUM('Phase designation'!C19:I19)&gt;2,0,AZ48)</f>
        <v>55.7</v>
      </c>
      <c r="M30" s="57">
        <f>IF(SUM('Phase designation'!C19:I19)&gt;2,0,BA48)</f>
        <v>0</v>
      </c>
      <c r="N30" s="57">
        <f>IF(SUM('Phase designation'!C19:I19)&gt;2,0,BB48)</f>
        <v>55.7</v>
      </c>
      <c r="O30" s="57">
        <f>IF(SUM('Phase designation'!C19:I19)&gt;2,0,BC48)</f>
        <v>55.7</v>
      </c>
      <c r="P30" s="57"/>
      <c r="R30" s="238" t="s">
        <v>200</v>
      </c>
      <c r="S30" s="81">
        <f>'Phase designation'!L37</f>
        <v>0</v>
      </c>
      <c r="T30" s="81">
        <f>'Phase designation'!M37</f>
        <v>6</v>
      </c>
      <c r="U30" s="81">
        <f>'Phase designation'!N37</f>
        <v>0</v>
      </c>
      <c r="V30" s="81">
        <f>'Phase designation'!O37</f>
        <v>8</v>
      </c>
      <c r="Z30" s="2">
        <f t="shared" si="6"/>
        <v>80.001000000000005</v>
      </c>
      <c r="AA30" s="2">
        <f t="shared" si="7"/>
        <v>90</v>
      </c>
      <c r="AB30" s="2">
        <f t="shared" si="8"/>
        <v>90</v>
      </c>
      <c r="AI30" s="270" t="s">
        <v>289</v>
      </c>
      <c r="AJ30" s="268" t="str">
        <f>AC21</f>
        <v>1a</v>
      </c>
      <c r="AK30" s="175"/>
      <c r="AL30" s="5"/>
      <c r="AM30" s="5"/>
    </row>
    <row r="31" spans="2:58" x14ac:dyDescent="0.25">
      <c r="C31" s="57"/>
      <c r="D31" s="57"/>
      <c r="E31" s="57"/>
      <c r="F31" s="57"/>
      <c r="G31" s="57"/>
      <c r="H31" s="57"/>
      <c r="I31" s="57"/>
      <c r="J31" s="57"/>
      <c r="K31" s="57"/>
      <c r="L31" s="57"/>
      <c r="M31" s="57"/>
      <c r="N31" s="57"/>
      <c r="O31" s="57"/>
      <c r="P31" s="57"/>
      <c r="R31" s="15" t="s">
        <v>199</v>
      </c>
      <c r="S31" s="190">
        <f t="shared" ref="S31:V32" si="9">IF(S29=0,0,1)</f>
        <v>0</v>
      </c>
      <c r="T31" s="190">
        <f t="shared" si="9"/>
        <v>1</v>
      </c>
      <c r="U31" s="190">
        <f t="shared" si="9"/>
        <v>0</v>
      </c>
      <c r="V31" s="190">
        <f t="shared" si="9"/>
        <v>1</v>
      </c>
      <c r="Z31" s="2">
        <f t="shared" si="6"/>
        <v>90.001000000000005</v>
      </c>
      <c r="AA31" s="2">
        <f t="shared" si="7"/>
        <v>100</v>
      </c>
      <c r="AB31" s="2">
        <f t="shared" si="8"/>
        <v>100</v>
      </c>
      <c r="AJ31" s="175" t="s">
        <v>290</v>
      </c>
      <c r="AK31" s="175">
        <f>INDEX(AK21:AK28,MATCH($AJ$30,$AJ$21:$AJ$28,0))</f>
        <v>4</v>
      </c>
      <c r="AL31" s="175">
        <f>INDEX(AL21:AL28,MATCH($AJ$30,$AJ$21:$AJ$28,0))</f>
        <v>0</v>
      </c>
      <c r="AM31" s="175">
        <f>INDEX(AM21:AM28,MATCH($AJ$30,$AJ$21:$AJ$28,0))</f>
        <v>0</v>
      </c>
    </row>
    <row r="32" spans="2:58" x14ac:dyDescent="0.25">
      <c r="C32" s="186" t="s">
        <v>113</v>
      </c>
      <c r="D32" s="206" t="str">
        <f>D2</f>
        <v>EBL</v>
      </c>
      <c r="E32" s="207" t="str">
        <f>E2</f>
        <v>EBT</v>
      </c>
      <c r="F32" s="207" t="s">
        <v>15</v>
      </c>
      <c r="G32" s="206" t="s">
        <v>18</v>
      </c>
      <c r="H32" s="207" t="s">
        <v>19</v>
      </c>
      <c r="I32" s="207" t="s">
        <v>20</v>
      </c>
      <c r="J32" s="206" t="s">
        <v>3</v>
      </c>
      <c r="K32" s="207" t="s">
        <v>4</v>
      </c>
      <c r="L32" s="207" t="s">
        <v>5</v>
      </c>
      <c r="M32" s="206" t="s">
        <v>8</v>
      </c>
      <c r="N32" s="207" t="s">
        <v>9</v>
      </c>
      <c r="O32" s="207" t="s">
        <v>10</v>
      </c>
      <c r="P32" s="57"/>
      <c r="R32" s="239" t="s">
        <v>200</v>
      </c>
      <c r="S32" s="190">
        <f t="shared" si="9"/>
        <v>0</v>
      </c>
      <c r="T32" s="190">
        <f t="shared" si="9"/>
        <v>1</v>
      </c>
      <c r="U32" s="190">
        <f t="shared" si="9"/>
        <v>0</v>
      </c>
      <c r="V32" s="190">
        <f t="shared" si="9"/>
        <v>1</v>
      </c>
      <c r="Z32" s="2">
        <f t="shared" si="6"/>
        <v>100.001</v>
      </c>
      <c r="AA32" s="2">
        <f t="shared" si="7"/>
        <v>110</v>
      </c>
      <c r="AB32" s="2">
        <f t="shared" si="8"/>
        <v>110</v>
      </c>
      <c r="AJ32" s="175" t="s">
        <v>292</v>
      </c>
      <c r="AK32" s="175" t="str">
        <f>INDEX(AP21:AP28,MATCH($AJ$30,$AO$21:$AO$28,0))</f>
        <v>NBSBTH</v>
      </c>
      <c r="AL32" s="175">
        <f>INDEX(AQ21:AQ28,MATCH($AJ$30,$AO$21:$AO$28,0))</f>
        <v>0</v>
      </c>
      <c r="AM32" s="175">
        <f>INDEX(AR21:AR28,MATCH($AJ$30,$AO$21:$AO$28,0))</f>
        <v>0</v>
      </c>
    </row>
    <row r="33" spans="2:60" x14ac:dyDescent="0.25">
      <c r="C33" s="57" t="s">
        <v>291</v>
      </c>
      <c r="D33" s="194">
        <f>IF('Phase designation'!C19=2,E33,D18)</f>
        <v>0</v>
      </c>
      <c r="E33" s="185">
        <f>E18</f>
        <v>4</v>
      </c>
      <c r="F33" s="185">
        <f>E33</f>
        <v>4</v>
      </c>
      <c r="G33" s="194">
        <f>IF('Phase designation'!E19=2,H33,G18)</f>
        <v>0</v>
      </c>
      <c r="H33" s="185">
        <f>H18</f>
        <v>8</v>
      </c>
      <c r="I33" s="185">
        <f>H33</f>
        <v>8</v>
      </c>
      <c r="J33" s="194">
        <f>IF('Phase designation'!G19=2,K33,J18)</f>
        <v>0</v>
      </c>
      <c r="K33" s="185">
        <f>K18</f>
        <v>2</v>
      </c>
      <c r="L33" s="185">
        <f>K33</f>
        <v>2</v>
      </c>
      <c r="M33" s="194">
        <f>IF('Phase designation'!I19=2,N33,M18)</f>
        <v>0</v>
      </c>
      <c r="N33" s="185">
        <f>N18</f>
        <v>6</v>
      </c>
      <c r="O33" s="185">
        <f>N33</f>
        <v>6</v>
      </c>
      <c r="P33" s="57"/>
      <c r="Z33" s="2">
        <f t="shared" si="6"/>
        <v>110.001</v>
      </c>
      <c r="AA33" s="2">
        <f t="shared" si="7"/>
        <v>120</v>
      </c>
      <c r="AB33" s="2">
        <f t="shared" si="8"/>
        <v>120</v>
      </c>
      <c r="AJ33" s="175" t="s">
        <v>293</v>
      </c>
      <c r="AK33" s="175">
        <f>INDEX(AU21:AU28,MATCH($AJ$30,$AT$21:$AT$28,0))</f>
        <v>425</v>
      </c>
      <c r="AL33" s="175">
        <f>INDEX(AV21:AV28,MATCH($AJ$30,$AT$21:$AT$28,0))</f>
        <v>0</v>
      </c>
      <c r="AM33" s="175">
        <f>INDEX(AW21:AW28,MATCH($AJ$30,$AT$21:$AT$28,0))</f>
        <v>0</v>
      </c>
      <c r="AQ33" s="425" t="s">
        <v>288</v>
      </c>
      <c r="AR33" s="5" t="str">
        <f>AK16</f>
        <v>EBWBTH</v>
      </c>
      <c r="AS33" s="5">
        <f>AL16</f>
        <v>0</v>
      </c>
      <c r="AT33" s="5">
        <f>AM16</f>
        <v>0</v>
      </c>
      <c r="AU33" s="2"/>
      <c r="AV33" s="2"/>
      <c r="AW33" s="2"/>
    </row>
    <row r="34" spans="2:60" x14ac:dyDescent="0.25">
      <c r="C34" s="164" t="s">
        <v>387</v>
      </c>
      <c r="D34" s="193">
        <f>IF(D33=0,0,INDEX($R$64:$Y$64,1,R69))</f>
        <v>0</v>
      </c>
      <c r="E34" s="189">
        <f>IF(E33=0,0,INDEX($R$64:$Y$64,1,S69))</f>
        <v>36</v>
      </c>
      <c r="F34" s="189">
        <f>E34</f>
        <v>36</v>
      </c>
      <c r="G34" s="193">
        <f>IF(G33=0,0,INDEX($R$64:$Y$64,1,T69))</f>
        <v>0</v>
      </c>
      <c r="H34" s="189">
        <f>IF(H33=0,0,INDEX($R$64:$Y$64,1,U69))</f>
        <v>36</v>
      </c>
      <c r="I34" s="189">
        <f>H34</f>
        <v>36</v>
      </c>
      <c r="J34" s="193">
        <f>IF(J33=0,0,INDEX($R$64:$Y$64,1,V69))</f>
        <v>0</v>
      </c>
      <c r="K34" s="189">
        <f>IF(K33=0,0,INDEX($R$64:$Y$64,1,W69))</f>
        <v>44</v>
      </c>
      <c r="L34" s="189">
        <f>K34</f>
        <v>44</v>
      </c>
      <c r="M34" s="193">
        <f>IF(M33=0,0,INDEX($R$64:$Y$64,1,X69))</f>
        <v>0</v>
      </c>
      <c r="N34" s="189">
        <f>IF(N33=0,0,INDEX($R$64:$Y$64,1,Y69))</f>
        <v>44</v>
      </c>
      <c r="O34" s="189">
        <f>N34</f>
        <v>44</v>
      </c>
      <c r="P34" s="57"/>
      <c r="Z34" s="2">
        <f t="shared" si="6"/>
        <v>120.001</v>
      </c>
      <c r="AA34" s="2">
        <f t="shared" si="7"/>
        <v>130</v>
      </c>
      <c r="AB34" s="2">
        <f t="shared" si="8"/>
        <v>130</v>
      </c>
      <c r="AJ34" s="174" t="s">
        <v>362</v>
      </c>
      <c r="AK34" s="174">
        <f>IF(AK33=0,0,ROUND(($D$25-$D$23)*(AK33/$P$17)+AK31,1))</f>
        <v>55.7</v>
      </c>
      <c r="AL34" s="174">
        <f>IF(AL33=0,0,ROUND(($D$25-$D$23)*(AL33/$P$17)+AL31,1))</f>
        <v>0</v>
      </c>
      <c r="AM34" s="174">
        <f>IF(AM33=0,0,ROUND(($D$25-$D$23)*(AM33/$P$17)+AM31,1))</f>
        <v>0</v>
      </c>
      <c r="AQ34" s="425"/>
      <c r="AR34" s="46">
        <f>AK18</f>
        <v>24.3</v>
      </c>
      <c r="AS34" s="46">
        <f>AL18</f>
        <v>0</v>
      </c>
      <c r="AT34" s="46">
        <f>AM18</f>
        <v>0</v>
      </c>
      <c r="AU34" s="2"/>
      <c r="AV34" s="2"/>
      <c r="AW34" s="2"/>
    </row>
    <row r="35" spans="2:60" x14ac:dyDescent="0.25">
      <c r="C35" s="57" t="s">
        <v>96</v>
      </c>
      <c r="D35" s="194">
        <f>Phasing!O8</f>
        <v>3.9</v>
      </c>
      <c r="E35" s="185">
        <f>Phasing!P8</f>
        <v>3.9</v>
      </c>
      <c r="F35" s="185">
        <f>E35</f>
        <v>3.9</v>
      </c>
      <c r="G35" s="194">
        <f>Phasing!Q8</f>
        <v>3.9</v>
      </c>
      <c r="H35" s="185">
        <f>Phasing!R8</f>
        <v>3.9</v>
      </c>
      <c r="I35" s="185">
        <f>H35</f>
        <v>3.9</v>
      </c>
      <c r="J35" s="194">
        <f>Phasing!S8</f>
        <v>3.2</v>
      </c>
      <c r="K35" s="185">
        <f>Phasing!T8</f>
        <v>3.2</v>
      </c>
      <c r="L35" s="185">
        <f>K35</f>
        <v>3.2</v>
      </c>
      <c r="M35" s="194">
        <f>Phasing!U8</f>
        <v>3.2</v>
      </c>
      <c r="N35" s="185">
        <f>Phasing!V8</f>
        <v>3.2</v>
      </c>
      <c r="O35" s="185">
        <f>N35</f>
        <v>3.2</v>
      </c>
      <c r="P35" s="57"/>
      <c r="R35" s="57">
        <f>D33</f>
        <v>0</v>
      </c>
      <c r="S35" s="57">
        <f>E33</f>
        <v>4</v>
      </c>
      <c r="T35" s="57">
        <f>G33</f>
        <v>0</v>
      </c>
      <c r="U35" s="57">
        <f>H33</f>
        <v>8</v>
      </c>
      <c r="V35" s="57">
        <f>J33</f>
        <v>0</v>
      </c>
      <c r="W35" s="57">
        <f>K33</f>
        <v>2</v>
      </c>
      <c r="X35" s="57">
        <f>M33</f>
        <v>0</v>
      </c>
      <c r="Y35" s="57">
        <f>N33</f>
        <v>6</v>
      </c>
      <c r="Z35" s="2">
        <f t="shared" si="6"/>
        <v>130.001</v>
      </c>
      <c r="AA35" s="2">
        <f t="shared" si="7"/>
        <v>140</v>
      </c>
      <c r="AB35" s="2">
        <f t="shared" si="8"/>
        <v>140</v>
      </c>
      <c r="AQ35" s="448" t="s">
        <v>289</v>
      </c>
      <c r="AR35" s="5" t="str">
        <f>AK32</f>
        <v>NBSBTH</v>
      </c>
      <c r="AS35" s="5">
        <f>AL32</f>
        <v>0</v>
      </c>
      <c r="AT35" s="5">
        <f>AM32</f>
        <v>0</v>
      </c>
      <c r="AX35" s="57"/>
      <c r="AY35" s="57"/>
      <c r="AZ35" s="57"/>
      <c r="BA35" s="57"/>
      <c r="BB35" s="57"/>
      <c r="BC35" s="57"/>
    </row>
    <row r="36" spans="2:60" x14ac:dyDescent="0.25">
      <c r="C36" s="164" t="s">
        <v>97</v>
      </c>
      <c r="D36" s="193">
        <f>Phasing!O11</f>
        <v>2.2000000000000002</v>
      </c>
      <c r="E36" s="189">
        <f>Phasing!P11</f>
        <v>2.2000000000000002</v>
      </c>
      <c r="F36" s="189">
        <f>E36</f>
        <v>2.2000000000000002</v>
      </c>
      <c r="G36" s="193">
        <f>Phasing!Q11</f>
        <v>2.2000000000000002</v>
      </c>
      <c r="H36" s="189">
        <f>Phasing!R11</f>
        <v>2.2000000000000002</v>
      </c>
      <c r="I36" s="189">
        <f>H36</f>
        <v>2.2000000000000002</v>
      </c>
      <c r="J36" s="193">
        <f>Phasing!S11</f>
        <v>2.5</v>
      </c>
      <c r="K36" s="189">
        <f>Phasing!T11</f>
        <v>2.5</v>
      </c>
      <c r="L36" s="189">
        <f>K36</f>
        <v>2.5</v>
      </c>
      <c r="M36" s="193">
        <f>Phasing!U11</f>
        <v>2.5</v>
      </c>
      <c r="N36" s="189">
        <f>Phasing!V11</f>
        <v>2.5</v>
      </c>
      <c r="O36" s="189">
        <f>N36</f>
        <v>2.5</v>
      </c>
      <c r="P36" s="57"/>
      <c r="R36" s="185">
        <f>R40</f>
        <v>0</v>
      </c>
      <c r="S36" s="185">
        <f t="shared" ref="S36:Y36" si="10">S40</f>
        <v>24.3</v>
      </c>
      <c r="T36" s="185">
        <f t="shared" si="10"/>
        <v>0</v>
      </c>
      <c r="U36" s="185">
        <f t="shared" si="10"/>
        <v>24.3</v>
      </c>
      <c r="V36" s="185">
        <f t="shared" si="10"/>
        <v>0</v>
      </c>
      <c r="W36" s="185">
        <f t="shared" si="10"/>
        <v>55.7</v>
      </c>
      <c r="X36" s="185">
        <f t="shared" si="10"/>
        <v>0</v>
      </c>
      <c r="Y36" s="185">
        <f t="shared" si="10"/>
        <v>55.7</v>
      </c>
      <c r="Z36" s="2">
        <f t="shared" si="6"/>
        <v>140.001</v>
      </c>
      <c r="AA36" s="2">
        <f t="shared" si="7"/>
        <v>150</v>
      </c>
      <c r="AB36" s="2">
        <f t="shared" si="8"/>
        <v>150</v>
      </c>
      <c r="AQ36" s="448"/>
      <c r="AR36" s="46">
        <f>AK34</f>
        <v>55.7</v>
      </c>
      <c r="AS36" s="46">
        <f>AL34</f>
        <v>0</v>
      </c>
      <c r="AT36" s="46">
        <f>AM34</f>
        <v>0</v>
      </c>
      <c r="AU36" s="2"/>
      <c r="AV36" s="2"/>
      <c r="AW36" s="2"/>
    </row>
    <row r="37" spans="2:60" x14ac:dyDescent="0.25">
      <c r="C37" s="57" t="s">
        <v>388</v>
      </c>
      <c r="D37" s="194">
        <f>MAX(0,SUMPRODUCT(D62:D64,E62:E64))</f>
        <v>29.900000000000002</v>
      </c>
      <c r="E37" s="185">
        <f>MAX(0,E34-E35-E36)</f>
        <v>29.900000000000002</v>
      </c>
      <c r="F37" s="185">
        <f>E37</f>
        <v>29.900000000000002</v>
      </c>
      <c r="G37" s="194">
        <f>MAX(0,SUMPRODUCT(G62:G64,H62:H64))</f>
        <v>29.900000000000002</v>
      </c>
      <c r="H37" s="185">
        <f>MAX(0,H34-H35-H36)</f>
        <v>29.900000000000002</v>
      </c>
      <c r="I37" s="185">
        <f>H37</f>
        <v>29.900000000000002</v>
      </c>
      <c r="J37" s="194">
        <f>MAX(0,SUMPRODUCT(J62:J64,K62:K64))</f>
        <v>38.299999999999997</v>
      </c>
      <c r="K37" s="185">
        <f>MAX(0,K34-K35-K36)</f>
        <v>38.299999999999997</v>
      </c>
      <c r="L37" s="185">
        <f>K37</f>
        <v>38.299999999999997</v>
      </c>
      <c r="M37" s="194">
        <f>MAX(0,SUMPRODUCT(M62:M64,N62:N64))</f>
        <v>38.299999999999997</v>
      </c>
      <c r="N37" s="185">
        <f>MAX(0,N34-N35-N36)</f>
        <v>38.299999999999997</v>
      </c>
      <c r="O37" s="185">
        <f>N37</f>
        <v>38.299999999999997</v>
      </c>
      <c r="P37" s="57"/>
      <c r="R37" s="185"/>
      <c r="S37" s="185"/>
      <c r="T37" s="185"/>
      <c r="U37" s="185"/>
      <c r="V37" s="185"/>
      <c r="W37" s="185"/>
      <c r="X37" s="185"/>
      <c r="Y37" s="185"/>
      <c r="Z37" s="2">
        <v>150.001</v>
      </c>
      <c r="AA37" s="2">
        <v>100000</v>
      </c>
      <c r="AB37" s="2">
        <v>150</v>
      </c>
      <c r="AQ37" s="2"/>
      <c r="AR37" s="2"/>
      <c r="AS37" s="2"/>
      <c r="AT37" s="2"/>
      <c r="AU37" s="2"/>
      <c r="AV37" s="2"/>
      <c r="AW37" s="2"/>
      <c r="BG37" s="2" t="s">
        <v>53</v>
      </c>
      <c r="BH37" s="2" t="s">
        <v>389</v>
      </c>
    </row>
    <row r="38" spans="2:60" x14ac:dyDescent="0.25">
      <c r="C38" s="164" t="s">
        <v>390</v>
      </c>
      <c r="D38" s="193">
        <f>IF(D37=0,0,(D37+D36+D35)-D20)</f>
        <v>32</v>
      </c>
      <c r="E38" s="189">
        <f t="shared" ref="E38:O38" si="11">IF(E37=0,0,(E37+E36+E35)-E20)</f>
        <v>32</v>
      </c>
      <c r="F38" s="189">
        <f t="shared" si="11"/>
        <v>32</v>
      </c>
      <c r="G38" s="193">
        <f t="shared" si="11"/>
        <v>32</v>
      </c>
      <c r="H38" s="189">
        <f t="shared" si="11"/>
        <v>32</v>
      </c>
      <c r="I38" s="189">
        <f t="shared" si="11"/>
        <v>32</v>
      </c>
      <c r="J38" s="193">
        <f t="shared" si="11"/>
        <v>40</v>
      </c>
      <c r="K38" s="189">
        <f t="shared" si="11"/>
        <v>40</v>
      </c>
      <c r="L38" s="189">
        <f t="shared" si="11"/>
        <v>40</v>
      </c>
      <c r="M38" s="193">
        <f t="shared" si="11"/>
        <v>40</v>
      </c>
      <c r="N38" s="189">
        <f t="shared" si="11"/>
        <v>40</v>
      </c>
      <c r="O38" s="189">
        <f t="shared" si="11"/>
        <v>40</v>
      </c>
      <c r="P38" s="57"/>
      <c r="R38" s="185"/>
      <c r="S38" s="185"/>
      <c r="T38" s="185"/>
      <c r="U38" s="185"/>
      <c r="V38" s="185"/>
      <c r="W38" s="185"/>
      <c r="X38" s="185"/>
      <c r="Y38" s="185"/>
      <c r="AQ38" s="274"/>
      <c r="AR38" s="441" t="s">
        <v>188</v>
      </c>
      <c r="AS38" s="437"/>
      <c r="AT38" s="437"/>
      <c r="AU38" s="441" t="s">
        <v>190</v>
      </c>
      <c r="AV38" s="437"/>
      <c r="AW38" s="437"/>
      <c r="AX38" s="441" t="s">
        <v>193</v>
      </c>
      <c r="AY38" s="437"/>
      <c r="AZ38" s="437"/>
      <c r="BA38" s="441" t="s">
        <v>198</v>
      </c>
      <c r="BB38" s="437"/>
      <c r="BC38" s="437"/>
      <c r="BG38" s="2" t="s">
        <v>391</v>
      </c>
      <c r="BH38" s="133"/>
    </row>
    <row r="39" spans="2:60" x14ac:dyDescent="0.25">
      <c r="C39" s="57" t="s">
        <v>392</v>
      </c>
      <c r="D39" s="208">
        <f t="shared" ref="D39:O39" si="12">IF($D$25=0,0,D34/$D$25)</f>
        <v>0</v>
      </c>
      <c r="E39" s="209">
        <f t="shared" si="12"/>
        <v>0.45</v>
      </c>
      <c r="F39" s="209">
        <f t="shared" si="12"/>
        <v>0.45</v>
      </c>
      <c r="G39" s="208">
        <f t="shared" si="12"/>
        <v>0</v>
      </c>
      <c r="H39" s="209">
        <f t="shared" si="12"/>
        <v>0.45</v>
      </c>
      <c r="I39" s="209">
        <f t="shared" si="12"/>
        <v>0.45</v>
      </c>
      <c r="J39" s="208">
        <f t="shared" si="12"/>
        <v>0</v>
      </c>
      <c r="K39" s="209">
        <f t="shared" si="12"/>
        <v>0.55000000000000004</v>
      </c>
      <c r="L39" s="209">
        <f t="shared" si="12"/>
        <v>0.55000000000000004</v>
      </c>
      <c r="M39" s="208">
        <f t="shared" si="12"/>
        <v>0</v>
      </c>
      <c r="N39" s="209">
        <f t="shared" si="12"/>
        <v>0.55000000000000004</v>
      </c>
      <c r="O39" s="209">
        <f t="shared" si="12"/>
        <v>0.55000000000000004</v>
      </c>
      <c r="P39" s="57"/>
      <c r="R39" s="185"/>
      <c r="S39" s="185"/>
      <c r="T39" s="185"/>
      <c r="U39" s="185"/>
      <c r="V39" s="185"/>
      <c r="W39" s="185"/>
      <c r="X39" s="185"/>
      <c r="Y39" s="185"/>
      <c r="AQ39" s="274"/>
      <c r="AR39" s="275" t="s">
        <v>393</v>
      </c>
      <c r="AS39" s="276" t="s">
        <v>394</v>
      </c>
      <c r="AT39" s="276" t="s">
        <v>395</v>
      </c>
      <c r="AU39" s="275" t="s">
        <v>393</v>
      </c>
      <c r="AV39" s="276" t="s">
        <v>394</v>
      </c>
      <c r="AW39" s="276" t="s">
        <v>395</v>
      </c>
      <c r="AX39" s="275" t="s">
        <v>393</v>
      </c>
      <c r="AY39" s="276" t="s">
        <v>394</v>
      </c>
      <c r="AZ39" s="276" t="s">
        <v>395</v>
      </c>
      <c r="BA39" s="275" t="s">
        <v>393</v>
      </c>
      <c r="BB39" s="276" t="s">
        <v>394</v>
      </c>
      <c r="BC39" s="276" t="s">
        <v>395</v>
      </c>
      <c r="BG39" s="2" t="s">
        <v>396</v>
      </c>
      <c r="BH39" s="134"/>
    </row>
    <row r="40" spans="2:60" x14ac:dyDescent="0.25">
      <c r="B40" s="2">
        <v>13</v>
      </c>
      <c r="C40" s="164" t="s">
        <v>51</v>
      </c>
      <c r="D40" s="193">
        <f>IF(D41=0,0,ROUND(D5/D41,2))</f>
        <v>1.79</v>
      </c>
      <c r="E40" s="189">
        <f>IF(E41=0,0,ROUND(E5/E41,2))</f>
        <v>0.27</v>
      </c>
      <c r="F40" s="210">
        <f>IF(F41=0,0,F9/F41)</f>
        <v>0.14705882352941177</v>
      </c>
      <c r="G40" s="193">
        <f>IF(G41=0,0,ROUND(G5/G41,2))</f>
        <v>1.79</v>
      </c>
      <c r="H40" s="189">
        <f>IF(H41=0,0,ROUND(H5/H41,2))</f>
        <v>0.27</v>
      </c>
      <c r="I40" s="210">
        <f>IF(I41=0,0,I9/I41)</f>
        <v>0.17647058823529413</v>
      </c>
      <c r="J40" s="193">
        <f>IF(J41=0,0,ROUND(J5/J41,2))</f>
        <v>0.72</v>
      </c>
      <c r="K40" s="189">
        <f>IF(K41=0,0,ROUND(K5/K41,2))</f>
        <v>0.42</v>
      </c>
      <c r="L40" s="210">
        <f>IF(L41=0,0,L9/L41)</f>
        <v>7.0588235294117646E-2</v>
      </c>
      <c r="M40" s="193">
        <f>IF(M41=0,0,ROUND(M5/M41,2))</f>
        <v>0.93</v>
      </c>
      <c r="N40" s="189">
        <f>IF(N41=0,0,ROUND(N5/N41,2))</f>
        <v>0.56000000000000005</v>
      </c>
      <c r="O40" s="210">
        <f>IF(O41=0,0,O9/O41)</f>
        <v>0.11764705882352941</v>
      </c>
      <c r="R40" s="185">
        <f>D30</f>
        <v>0</v>
      </c>
      <c r="S40" s="185">
        <f>E30</f>
        <v>24.3</v>
      </c>
      <c r="T40" s="185">
        <f>G30</f>
        <v>0</v>
      </c>
      <c r="U40" s="185">
        <f>H30</f>
        <v>24.3</v>
      </c>
      <c r="V40" s="185">
        <f>J30</f>
        <v>0</v>
      </c>
      <c r="W40" s="185">
        <f>K30</f>
        <v>55.7</v>
      </c>
      <c r="X40" s="185">
        <f>M30</f>
        <v>0</v>
      </c>
      <c r="Y40" s="185">
        <f>N30</f>
        <v>55.7</v>
      </c>
      <c r="AQ40" s="277" t="s">
        <v>314</v>
      </c>
      <c r="AR40" s="278"/>
      <c r="AS40" s="277">
        <f>IF($AQ$40=$AR$33,$AR$34,0)+IF($AQ40=$AS$33,$AS$34,0)+IF($AQ40=$AT$33,$AT$34,0)</f>
        <v>24.3</v>
      </c>
      <c r="AT40" s="277">
        <f>IF($AQ$40=$AR$33,$AR$34,0)+IF($AQ40=$AS$33,$AS$34,0)+IF($AQ40=$AT$33,$AT$34,0)</f>
        <v>24.3</v>
      </c>
      <c r="AU40" s="278"/>
      <c r="AV40" s="277">
        <f>IF($AQ$40=$AR$33,$AR$34,0)+IF($AQ40=$AS$33,$AS$34,0)+IF($AQ40=$AT$33,$AT$34,0)</f>
        <v>24.3</v>
      </c>
      <c r="AW40" s="277">
        <f>IF($AQ$40=$AR$33,$AR$34,0)+IF($AQ40=$AS$33,$AS$34,0)+IF($AQ40=$AT$33,$AT$34,0)</f>
        <v>24.3</v>
      </c>
      <c r="AX40" s="278"/>
      <c r="AY40" s="277"/>
      <c r="AZ40" s="277"/>
      <c r="BA40" s="278"/>
      <c r="BB40" s="277"/>
      <c r="BC40" s="277"/>
      <c r="BG40" s="2" t="s">
        <v>397</v>
      </c>
      <c r="BH40" s="135"/>
    </row>
    <row r="41" spans="2:60" x14ac:dyDescent="0.25">
      <c r="C41" s="57" t="s">
        <v>398</v>
      </c>
      <c r="D41" s="194">
        <f>IF($D$25=0,0,IF('Phase designation'!C19=0,SUMPRODUCT(D57:D60,E57:E60),(E41/MAX(1,E6))*D6))</f>
        <v>112</v>
      </c>
      <c r="E41" s="185">
        <f>IF($D$25=0,0,IF(AND(D6&gt;0,E6=0),ROUND(D6*D11*E38/$D$25,0),ROUND(E11*E38/$D$25,0)))</f>
        <v>1836</v>
      </c>
      <c r="F41" s="185">
        <f>IF($D$25=0,0,ROUND(F6*F11*F38/$D$25,0))</f>
        <v>612</v>
      </c>
      <c r="G41" s="194">
        <f>IF($D$25=0,0,IF('Phase designation'!E19=0,SUMPRODUCT(G57:G60,H57:H60),(H41/MAX(1,H6))*G6))</f>
        <v>112</v>
      </c>
      <c r="H41" s="185">
        <f>IF($D$25=0,0,IF(AND(G6&gt;0,H6=0),ROUND(G6*G11*H38/$D$25,0),ROUND(H11*H38/$D$25,0)))</f>
        <v>1836</v>
      </c>
      <c r="I41" s="185">
        <f>IF($D$25=0,0,ROUND(I6*I11*I38/$D$25,0))</f>
        <v>612</v>
      </c>
      <c r="J41" s="194">
        <f>IF($D$25=0,0,IF('Phase designation'!G19=0,SUMPRODUCT(J57:J60,K57:K60),(K41/MAX(1,K6))*J6))</f>
        <v>104</v>
      </c>
      <c r="K41" s="185">
        <f>IF($D$25=0,0,IF(AND(J6&gt;0,K6=0),ROUND(J6*J11*K38/$D$25,0),ROUND(K11*K38/$D$25,0)))</f>
        <v>1530</v>
      </c>
      <c r="L41" s="185">
        <f>IF($D$25=0,0,ROUND(L6*L11*L38/$D$25,0))</f>
        <v>765</v>
      </c>
      <c r="M41" s="194">
        <f>IF($D$25=0,0,IF('Phase designation'!I19=0,SUMPRODUCT(M57:M60,N57:N60),(N41/MAX(1,N6))*M6))</f>
        <v>107</v>
      </c>
      <c r="N41" s="185">
        <f>IF($D$25=0,0,IF(AND(M6&gt;0,N6=0),ROUND(M6*M11*N38/$D$25,0),ROUND(N11*N38/$D$25,0)))</f>
        <v>1530</v>
      </c>
      <c r="O41" s="185">
        <f>IF($D$25=0,0,ROUND(O6*O11*O38/$D$25,0))</f>
        <v>765</v>
      </c>
      <c r="R41" s="15" t="s">
        <v>199</v>
      </c>
      <c r="S41" s="240">
        <f t="shared" ref="S41:V42" si="13">MATCH(S29,$R$35:$Y$35,0)</f>
        <v>1</v>
      </c>
      <c r="T41" s="240">
        <f t="shared" si="13"/>
        <v>6</v>
      </c>
      <c r="U41" s="240">
        <f t="shared" si="13"/>
        <v>1</v>
      </c>
      <c r="V41" s="240">
        <f t="shared" si="13"/>
        <v>2</v>
      </c>
      <c r="AQ41" s="277" t="s">
        <v>334</v>
      </c>
      <c r="AR41" s="278"/>
      <c r="AS41" s="277"/>
      <c r="AT41" s="277"/>
      <c r="AU41" s="278">
        <f>IF($AQ$41=$AR$33,$AR$34,0)+IF($AQ41=$AS$33,$AS$34,0)+IF($AQ41=$AT$33,$AT$34,0)</f>
        <v>0</v>
      </c>
      <c r="AV41" s="277">
        <f>IF($AQ$41=$AR$33,$AR$34,0)+IF($AQ41=$AS$33,$AS$34,0)+IF($AQ41=$AT$33,$AT$34,0)</f>
        <v>0</v>
      </c>
      <c r="AW41" s="277">
        <f>IF($AQ$41=$AR$33,$AR$34,0)+IF($AQ41=$AS$33,$AS$34,0)+IF($AQ41=$AT$33,$AT$34,0)</f>
        <v>0</v>
      </c>
      <c r="AX41" s="278"/>
      <c r="AY41" s="277"/>
      <c r="AZ41" s="277"/>
      <c r="BA41" s="278"/>
      <c r="BB41" s="277"/>
      <c r="BC41" s="277"/>
      <c r="BG41" s="2" t="s">
        <v>399</v>
      </c>
      <c r="BH41" s="9"/>
    </row>
    <row r="42" spans="2:60" x14ac:dyDescent="0.25">
      <c r="C42" s="57" t="s">
        <v>400</v>
      </c>
      <c r="D42" s="194">
        <f t="shared" ref="D42:O42" si="14">IF(D40=0,0,ROUND((0.5*$D$25*(1-(D38)/$D$25)^2)/(1-(MIN(1,D40)*(D38))/$D$25),2))</f>
        <v>24</v>
      </c>
      <c r="E42" s="185">
        <f t="shared" si="14"/>
        <v>16.14</v>
      </c>
      <c r="F42" s="185">
        <f t="shared" si="14"/>
        <v>15.3</v>
      </c>
      <c r="G42" s="194">
        <f t="shared" si="14"/>
        <v>24</v>
      </c>
      <c r="H42" s="185">
        <f t="shared" si="14"/>
        <v>16.14</v>
      </c>
      <c r="I42" s="185">
        <f t="shared" si="14"/>
        <v>15.49</v>
      </c>
      <c r="J42" s="194">
        <f t="shared" si="14"/>
        <v>15.63</v>
      </c>
      <c r="K42" s="185">
        <f t="shared" si="14"/>
        <v>12.66</v>
      </c>
      <c r="L42" s="185">
        <f t="shared" si="14"/>
        <v>10.37</v>
      </c>
      <c r="M42" s="194">
        <f t="shared" si="14"/>
        <v>18.690000000000001</v>
      </c>
      <c r="N42" s="185">
        <f t="shared" si="14"/>
        <v>13.89</v>
      </c>
      <c r="O42" s="185">
        <f t="shared" si="14"/>
        <v>10.63</v>
      </c>
      <c r="P42" s="57"/>
      <c r="R42" s="239" t="s">
        <v>200</v>
      </c>
      <c r="S42" s="240">
        <f t="shared" si="13"/>
        <v>1</v>
      </c>
      <c r="T42" s="240">
        <f t="shared" si="13"/>
        <v>8</v>
      </c>
      <c r="U42" s="240">
        <f t="shared" si="13"/>
        <v>1</v>
      </c>
      <c r="V42" s="240">
        <f t="shared" si="13"/>
        <v>4</v>
      </c>
      <c r="AQ42" s="277" t="s">
        <v>338</v>
      </c>
      <c r="AR42" s="278">
        <f>IF($AQ$42=$AR$33,$AR$34,0)+IF($AQ42=$AS$33,$AS$34,0)+IF($AQ42=$AT$33,$AT$34,0)</f>
        <v>0</v>
      </c>
      <c r="AS42" s="277">
        <f>IF($AQ$42=$AR$33,$AR$34,0)+IF($AQ42=$AS$33,$AS$34,0)+IF($AQ42=$AT$33,$AT$34,0)</f>
        <v>0</v>
      </c>
      <c r="AT42" s="277">
        <f>IF($AQ$42=$AR$33,$AR$34,0)+IF($AQ42=$AS$33,$AS$34,0)+IF($AQ42=$AT$33,$AT$34,0)</f>
        <v>0</v>
      </c>
      <c r="AU42" s="278"/>
      <c r="AV42" s="277"/>
      <c r="AW42" s="277"/>
      <c r="AX42" s="278"/>
      <c r="AY42" s="277"/>
      <c r="AZ42" s="277"/>
      <c r="BA42" s="278"/>
      <c r="BB42" s="277"/>
      <c r="BC42" s="277"/>
      <c r="BG42" s="57"/>
      <c r="BH42" s="15"/>
    </row>
    <row r="43" spans="2:60" x14ac:dyDescent="0.25">
      <c r="C43" s="57" t="s">
        <v>401</v>
      </c>
      <c r="D43" s="194">
        <f>IF(OR(D41=0,D11+D14=0),0,ROUND(225*((D40-1)+SQRT((D40-1)^2+(4*D40)/(D41*0.25))),2))</f>
        <v>388.8</v>
      </c>
      <c r="E43" s="185">
        <f>IF(OR(E41=0,E11=0),0,ROUND(225*((E40-1)+SQRT((E40-1)^2+(4*E40)/(E41*0.25))),2))</f>
        <v>0.36</v>
      </c>
      <c r="F43" s="185">
        <f>IF(OR(F41=0,F11=0),0,ROUND(225*((F40-1)+SQRT((F40-1)^2+(4*F40)/(F41*0.25))),2))</f>
        <v>0.51</v>
      </c>
      <c r="G43" s="194">
        <f>IF(OR(G41=0,G11+G14=0),0,ROUND(225*((G40-1)+SQRT((G40-1)^2+(4*G40)/(G41*0.25))),2))</f>
        <v>388.8</v>
      </c>
      <c r="H43" s="185">
        <f>IF(OR(H41=0,H11=0),0,ROUND(225*((H40-1)+SQRT((H40-1)^2+(4*H40)/(H41*0.25))),2))</f>
        <v>0.36</v>
      </c>
      <c r="I43" s="185">
        <f>IF(OR(I41=0,I11=0),0,ROUND(225*((I40-1)+SQRT((I40-1)^2+(4*I40)/(I41*0.25))),2))</f>
        <v>0.63</v>
      </c>
      <c r="J43" s="194">
        <f>IF(OR(J41=0,J11+J14=0),0,ROUND(225*((J40-1)+SQRT((J40-1)^2+(4*J40)/(J41*0.25))),2))</f>
        <v>34.86</v>
      </c>
      <c r="K43" s="185">
        <f>IF(OR(K41=0,K11=0),0,ROUND(225*((K40-1)+SQRT((K40-1)^2+(4*K40)/(K41*0.25))),2))</f>
        <v>0.85</v>
      </c>
      <c r="L43" s="185">
        <f>IF(OR(L41=0,L11=0),0,ROUND(225*((L40-1)+SQRT((L40-1)^2+(4*L40)/(L41*0.25))),2))</f>
        <v>0.18</v>
      </c>
      <c r="M43" s="194">
        <f>IF(OR(M41=0,M11+M14=0),0,ROUND(225*((M40-1)+SQRT((M40-1)^2+(4*M40)/(M41*0.25))),2))</f>
        <v>69.62</v>
      </c>
      <c r="N43" s="185">
        <f>IF(OR(N41=0,N41=0),0,ROUND(225*((N40-1)+SQRT((N40-1)^2+(4*N40)/(N41*0.25))),2))</f>
        <v>1.49</v>
      </c>
      <c r="O43" s="185">
        <f>IF(OR(O41=0,O11=0),0,ROUND(225*((O40-1)+SQRT((O40-1)^2+(4*O40)/(O41*0.25))),2))</f>
        <v>0.31</v>
      </c>
      <c r="P43" s="57"/>
      <c r="Z43" s="460" t="s">
        <v>402</v>
      </c>
      <c r="AA43" s="460"/>
      <c r="AB43" s="460"/>
      <c r="AC43" s="460"/>
      <c r="AG43" s="185" t="s">
        <v>403</v>
      </c>
      <c r="AH43" s="185" t="s">
        <v>404</v>
      </c>
      <c r="AQ43" s="277" t="s">
        <v>341</v>
      </c>
      <c r="AR43" s="278">
        <f>IF($AQ$43=$AR$33,$AR$34,0)+IF($AQ43=$AS$33,$AS$34,0)+IF($AQ43=$AT$33,$AT$34,0)</f>
        <v>0</v>
      </c>
      <c r="AS43" s="277"/>
      <c r="AT43" s="277"/>
      <c r="AU43" s="278">
        <f>IF($AQ$43=$AR$33,$AR$34,0)+IF($AQ43=$AS$33,$AS$34,0)+IF($AQ43=$AT$33,$AT$34,0)</f>
        <v>0</v>
      </c>
      <c r="AV43" s="277"/>
      <c r="AW43" s="277"/>
      <c r="AX43" s="278"/>
      <c r="AY43" s="277"/>
      <c r="AZ43" s="277"/>
      <c r="BA43" s="278"/>
      <c r="BB43" s="277"/>
      <c r="BC43" s="277"/>
      <c r="BG43" s="57"/>
      <c r="BH43" s="15"/>
    </row>
    <row r="44" spans="2:60" x14ac:dyDescent="0.25">
      <c r="C44" s="164" t="s">
        <v>405</v>
      </c>
      <c r="D44" s="211">
        <f>IF(D3=0,0,D42+D43)</f>
        <v>412.8</v>
      </c>
      <c r="E44" s="212">
        <f>IF(OR(E3=0,E6=0),0,E42+E43)</f>
        <v>16.5</v>
      </c>
      <c r="F44" s="212">
        <f>IF(F3=0,0,F42+F43)</f>
        <v>15.81</v>
      </c>
      <c r="G44" s="211">
        <f>IF(G3=0,0,G42+G43)</f>
        <v>412.8</v>
      </c>
      <c r="H44" s="212">
        <f>IF(OR(H3=0,H6=0),0,H42+H43)</f>
        <v>16.5</v>
      </c>
      <c r="I44" s="212">
        <f>IF(I3=0,0,I42+I43)</f>
        <v>16.12</v>
      </c>
      <c r="J44" s="211">
        <f>IF(J3=0,0,J42+J43)</f>
        <v>50.49</v>
      </c>
      <c r="K44" s="212">
        <f>IF(OR(K3=0,K6=0),0,K42+K43)</f>
        <v>13.51</v>
      </c>
      <c r="L44" s="212">
        <f>IF(L3=0,0,L42+L43)</f>
        <v>10.549999999999999</v>
      </c>
      <c r="M44" s="211">
        <f>IF(M3=0,0,M42+M43)</f>
        <v>88.31</v>
      </c>
      <c r="N44" s="212">
        <f>IF(OR(N3=0,N6=0),0,N42+N43)</f>
        <v>15.38</v>
      </c>
      <c r="O44" s="212">
        <f>IF(O3=0,0,O42+O43)</f>
        <v>10.940000000000001</v>
      </c>
      <c r="R44" s="15" t="s">
        <v>199</v>
      </c>
      <c r="S44" s="240">
        <f t="shared" ref="S44:V45" si="15">IF(S41&gt;0,MAX(Z44,INDEX($R$35:$Y$36,2,S41),0))</f>
        <v>0</v>
      </c>
      <c r="T44" s="240">
        <f t="shared" si="15"/>
        <v>55.7</v>
      </c>
      <c r="U44" s="240">
        <f t="shared" si="15"/>
        <v>0</v>
      </c>
      <c r="V44" s="240">
        <f t="shared" si="15"/>
        <v>36</v>
      </c>
      <c r="W44" s="5">
        <f>SUM(S44:V44)</f>
        <v>91.7</v>
      </c>
      <c r="Y44" s="15" t="s">
        <v>199</v>
      </c>
      <c r="Z44" s="192">
        <f>Phasing!D43</f>
        <v>0</v>
      </c>
      <c r="AA44" s="192">
        <f>Phasing!E43</f>
        <v>42</v>
      </c>
      <c r="AB44" s="192">
        <f>Phasing!F43</f>
        <v>0</v>
      </c>
      <c r="AC44" s="192">
        <f>Phasing!G43</f>
        <v>36</v>
      </c>
      <c r="AD44" s="247" t="s">
        <v>403</v>
      </c>
      <c r="AE44" s="247" t="s">
        <v>404</v>
      </c>
      <c r="AF44" s="239"/>
      <c r="AG44" s="175">
        <f>Z44+AA44</f>
        <v>42</v>
      </c>
      <c r="AH44" s="175">
        <f>AB44+AC44</f>
        <v>36</v>
      </c>
      <c r="AI44" s="15" t="s">
        <v>199</v>
      </c>
      <c r="AJ44" s="185">
        <f>IF(MIN(AG44,$AD$45)=0,0,ROUND(Z44*MAX(AG44,$AD$45)/MIN(AG44,$AD$45)*$D$25/$AF$45,0))</f>
        <v>0</v>
      </c>
      <c r="AK44" s="185">
        <f>IF(MIN(AG44,$AD$45)=0,0,ROUND(AA44*MAX(AG44,$AD$45)/MIN(AG44,$AD$45)*$D$25/$AF$45,0))</f>
        <v>43</v>
      </c>
      <c r="AL44" s="185">
        <f>IF(MIN(AH44,$AE$45)=0,0,ROUND(AB44*MAX(AH44,$AE$45)/MIN(AH44,$AE$45)*$D$25/$AF$45,0))</f>
        <v>0</v>
      </c>
      <c r="AM44" s="185">
        <f>$D$25-SUM(AJ44:AL44)</f>
        <v>37</v>
      </c>
      <c r="AN44" s="190"/>
      <c r="AO44" s="190"/>
      <c r="AP44" s="190"/>
      <c r="AQ44" s="279" t="s">
        <v>367</v>
      </c>
      <c r="AR44" s="280"/>
      <c r="AS44" s="279"/>
      <c r="AT44" s="279"/>
      <c r="AU44" s="280"/>
      <c r="AV44" s="279"/>
      <c r="AW44" s="279"/>
      <c r="AX44" s="280"/>
      <c r="AY44" s="279">
        <f>IF($AQ$44=$AR$35,$AR$36,0)+IF($AQ44=$AS$35,$AS$36,0)+IF($AQ44=$AT$35,$AT$36,0)</f>
        <v>55.7</v>
      </c>
      <c r="AZ44" s="279">
        <f>IF($AQ$44=$AR$35,$AR$36,0)+IF($AQ44=$AS$35,$AS$36,0)+IF($AQ44=$AT$35,$AT$36,0)</f>
        <v>55.7</v>
      </c>
      <c r="BA44" s="280"/>
      <c r="BB44" s="279">
        <f>IF($AQ$44=$AR$35,$AR$36,0)+IF($AQ44=$AS$35,$AS$36,0)+IF($AQ44=$AT$35,$AT$36,0)</f>
        <v>55.7</v>
      </c>
      <c r="BC44" s="279">
        <f>IF($AQ$44=$AR$35,$AR$36,0)+IF($AQ44=$AS$35,$AS$36,0)+IF($AQ44=$AT$35,$AT$36,0)</f>
        <v>55.7</v>
      </c>
      <c r="BG44" s="2" t="s">
        <v>406</v>
      </c>
      <c r="BH44" s="161"/>
    </row>
    <row r="45" spans="2:60" x14ac:dyDescent="0.25">
      <c r="C45" s="57" t="s">
        <v>53</v>
      </c>
      <c r="D45" s="191" t="str">
        <f>IF(D44=0,"N/A",VLOOKUP(D44,'LOS table'!$B$3:$D$8,3))</f>
        <v>F</v>
      </c>
      <c r="E45" s="192" t="str">
        <f>IF(E44=0,"N/A",VLOOKUP(E44,'LOS table'!$B$3:$D$8,3))</f>
        <v>B</v>
      </c>
      <c r="F45" s="192" t="str">
        <f>IF(F44=0,"N/A",VLOOKUP(F44,'LOS table'!$B$3:$D$8,3))</f>
        <v>B</v>
      </c>
      <c r="G45" s="191" t="str">
        <f>IF(G44=0,"N/A",VLOOKUP(G44,'LOS table'!$B$3:$D$8,3))</f>
        <v>F</v>
      </c>
      <c r="H45" s="192" t="str">
        <f>IF(H44=0,"N/A",VLOOKUP(H44,'LOS table'!$B$3:$D$8,3))</f>
        <v>B</v>
      </c>
      <c r="I45" s="192" t="str">
        <f>IF(I44=0,"N/A",VLOOKUP(I44,'LOS table'!$B$3:$D$8,3))</f>
        <v>B</v>
      </c>
      <c r="J45" s="191" t="str">
        <f>IF(J44=0,"N/A",VLOOKUP(J44,'LOS table'!$B$3:$D$8,3))</f>
        <v>D</v>
      </c>
      <c r="K45" s="192" t="str">
        <f>IF(K44=0,"N/A",VLOOKUP(K44,'LOS table'!$B$3:$D$8,3))</f>
        <v>B</v>
      </c>
      <c r="L45" s="192" t="str">
        <f>IF(L44=0,"N/A",VLOOKUP(L44,'LOS table'!$B$3:$D$8,3))</f>
        <v>B</v>
      </c>
      <c r="M45" s="191" t="str">
        <f>IF(M44=0,"N/A",VLOOKUP(M44,'LOS table'!$B$3:$D$8,3))</f>
        <v>F</v>
      </c>
      <c r="N45" s="192" t="str">
        <f>IF(N44=0,"N/A",VLOOKUP(N44,'LOS table'!$B$3:$D$8,3))</f>
        <v>B</v>
      </c>
      <c r="O45" s="192" t="str">
        <f>IF(O44=0,"N/A",VLOOKUP(O44,'LOS table'!$B$3:$D$8,3))</f>
        <v>B</v>
      </c>
      <c r="R45" s="239" t="s">
        <v>200</v>
      </c>
      <c r="S45" s="240">
        <f t="shared" si="15"/>
        <v>0</v>
      </c>
      <c r="T45" s="240">
        <f t="shared" si="15"/>
        <v>55.7</v>
      </c>
      <c r="U45" s="240">
        <f t="shared" si="15"/>
        <v>0</v>
      </c>
      <c r="V45" s="240">
        <f t="shared" si="15"/>
        <v>36</v>
      </c>
      <c r="W45" s="5">
        <f>SUM(S45:V45)</f>
        <v>91.7</v>
      </c>
      <c r="Y45" s="239" t="s">
        <v>200</v>
      </c>
      <c r="Z45" s="192">
        <f>Phasing!H43</f>
        <v>0</v>
      </c>
      <c r="AA45" s="192">
        <f>Phasing!I43</f>
        <v>42</v>
      </c>
      <c r="AB45" s="192">
        <f>Phasing!J43</f>
        <v>0</v>
      </c>
      <c r="AC45" s="192">
        <f>Phasing!K43</f>
        <v>36</v>
      </c>
      <c r="AD45" s="247">
        <f>MAX(Z44+AA44,Z45+AA45)</f>
        <v>42</v>
      </c>
      <c r="AE45" s="247">
        <f>MAX(AB44+AC44,AB45+AC45)</f>
        <v>36</v>
      </c>
      <c r="AF45" s="176">
        <f>SUM(AD45:AE45)</f>
        <v>78</v>
      </c>
      <c r="AG45" s="175">
        <f>Z45+AA45</f>
        <v>42</v>
      </c>
      <c r="AH45" s="175">
        <f>AB45+AC45</f>
        <v>36</v>
      </c>
      <c r="AI45" s="239" t="s">
        <v>200</v>
      </c>
      <c r="AJ45" s="185">
        <f>IF(MIN(AG45,$AD$45)=0,0,ROUND(Z45*MAX(AG45,$AD$45)/MIN(AG45,$AD$45)*$D$25/$AF$45,0))</f>
        <v>0</v>
      </c>
      <c r="AK45" s="185">
        <f>IF(MIN(AG45,$AD$45)=0,0,ROUND(AA45*MAX(AG45,$AD$45)/MIN(AG45,$AD$45)*$D$25/$AF$45,0))</f>
        <v>43</v>
      </c>
      <c r="AL45" s="185">
        <f>IF(MIN(AH45,$AE$45)=0,0,ROUND(AB45*MAX(AH45,$AE$45)/MIN(AH45,$AE$45)*$D$25/$AF$45,0))</f>
        <v>0</v>
      </c>
      <c r="AM45" s="185">
        <f>$D$25-SUM(AJ45:AL45)</f>
        <v>37</v>
      </c>
      <c r="AN45" s="190"/>
      <c r="AO45" s="190"/>
      <c r="AP45" s="190"/>
      <c r="AQ45" s="279" t="s">
        <v>378</v>
      </c>
      <c r="AR45" s="280"/>
      <c r="AS45" s="279"/>
      <c r="AT45" s="279"/>
      <c r="AU45" s="280"/>
      <c r="AV45" s="279"/>
      <c r="AW45" s="279"/>
      <c r="AX45" s="280"/>
      <c r="AY45" s="279"/>
      <c r="AZ45" s="279"/>
      <c r="BA45" s="280">
        <f>IF($AQ$45=$AR$35,$AR$36,0)+IF($AQ45=$AS$35,$AS$36,0)+IF($AQ45=$AT$35,$AT$36,0)</f>
        <v>0</v>
      </c>
      <c r="BB45" s="279">
        <f>IF($AQ$45=$AR$35,$AR$36,0)+IF($AQ45=$AS$35,$AS$36,0)+IF($AQ45=$AT$35,$AT$36,0)</f>
        <v>0</v>
      </c>
      <c r="BC45" s="279">
        <f>IF($AQ$45=$AR$35,$AR$36,0)+IF($AQ45=$AS$35,$AS$36,0)+IF($AQ45=$AT$35,$AT$36,0)</f>
        <v>0</v>
      </c>
      <c r="BG45" s="2" t="s">
        <v>407</v>
      </c>
      <c r="BH45" s="162"/>
    </row>
    <row r="46" spans="2:60" x14ac:dyDescent="0.25">
      <c r="C46" s="164" t="s">
        <v>408</v>
      </c>
      <c r="D46" s="213">
        <f>IF(SUM(D3:F3)=0,0,SUMPRODUCT(D3:F3,D44:F44)/SUM(D3:F3))</f>
        <v>115.48875</v>
      </c>
      <c r="E46" s="214"/>
      <c r="F46" s="215"/>
      <c r="G46" s="213">
        <f>IF(SUM(G3:I3)=0,0,SUMPRODUCT(G3:I3,G44:I44)/SUM(G3:I3))</f>
        <v>113.46796589524969</v>
      </c>
      <c r="H46" s="214"/>
      <c r="I46" s="215"/>
      <c r="J46" s="213">
        <f>IF(SUM(J3:L3)=0,0,SUMPRODUCT(J3:L3,J44:L44)/SUM(J3:L3))</f>
        <v>16.816878980891719</v>
      </c>
      <c r="K46" s="214"/>
      <c r="L46" s="215"/>
      <c r="M46" s="213">
        <f>IF(SUM(M3:O3)=0,0,SUMPRODUCT(M3:O3,M44:O44)/SUM(M3:O3))</f>
        <v>21.902857142857144</v>
      </c>
      <c r="N46" s="214"/>
      <c r="O46" s="214"/>
      <c r="P46" s="222"/>
      <c r="R46" s="239"/>
      <c r="S46" s="240"/>
      <c r="T46" s="240"/>
      <c r="U46" s="240"/>
      <c r="V46" s="240"/>
      <c r="W46" s="57"/>
      <c r="Y46" s="239"/>
      <c r="Z46" s="192"/>
      <c r="AA46" s="192"/>
      <c r="AB46" s="192"/>
      <c r="AC46" s="192"/>
      <c r="AD46" s="185"/>
      <c r="AE46" s="185"/>
      <c r="AI46" s="239"/>
      <c r="AL46" s="185"/>
      <c r="AM46" s="185"/>
      <c r="AN46" s="190"/>
      <c r="AO46" s="190"/>
      <c r="AP46" s="190"/>
      <c r="AQ46" s="279" t="s">
        <v>380</v>
      </c>
      <c r="AR46" s="280"/>
      <c r="AS46" s="279"/>
      <c r="AT46" s="279"/>
      <c r="AU46" s="280"/>
      <c r="AV46" s="279"/>
      <c r="AW46" s="279"/>
      <c r="AX46" s="280">
        <f>IF($AQ$46=$AR$35,$AR$36,0)+IF($AQ46=$AS$35,$AS$36,0)+IF($AQ46=$AT$35,$AT$36,0)</f>
        <v>0</v>
      </c>
      <c r="AY46" s="279">
        <f>IF($AQ$46=$AR$35,$AR$36,0)+IF($AQ46=$AS$35,$AS$36,0)+IF($AQ46=$AT$35,$AT$36,0)</f>
        <v>0</v>
      </c>
      <c r="AZ46" s="279">
        <f>IF($AQ$46=$AR$35,$AR$36,0)+IF($AQ46=$AS$35,$AS$36,0)+IF($AQ46=$AT$35,$AT$36,0)</f>
        <v>0</v>
      </c>
      <c r="BA46" s="280"/>
      <c r="BB46" s="279"/>
      <c r="BC46" s="279"/>
    </row>
    <row r="47" spans="2:60" x14ac:dyDescent="0.25">
      <c r="C47" s="57" t="s">
        <v>409</v>
      </c>
      <c r="D47" s="191" t="str">
        <f>IF(D46=0,"N/A",VLOOKUP(D46,'LOS table'!$B$3:$D$8,3))</f>
        <v>F</v>
      </c>
      <c r="E47" s="192"/>
      <c r="F47" s="216"/>
      <c r="G47" s="191" t="str">
        <f>IF(G46=0,"N/A",VLOOKUP(G46,'LOS table'!$B$3:$D$8,3))</f>
        <v>F</v>
      </c>
      <c r="H47" s="192"/>
      <c r="I47" s="216"/>
      <c r="J47" s="191" t="str">
        <f>IF(J46=0,"N/A",VLOOKUP(J46,'LOS table'!$B$3:$D$8,3))</f>
        <v>B</v>
      </c>
      <c r="K47" s="192"/>
      <c r="L47" s="216"/>
      <c r="M47" s="191" t="str">
        <f>IF(M46=0,"N/A",VLOOKUP(M46,'LOS table'!$B$3:$D$8,3))</f>
        <v>C</v>
      </c>
      <c r="N47" s="192"/>
      <c r="O47" s="192"/>
      <c r="P47" s="100"/>
      <c r="R47" s="239"/>
      <c r="S47" s="240"/>
      <c r="T47" s="240"/>
      <c r="U47" s="240"/>
      <c r="V47" s="240"/>
      <c r="W47" s="57"/>
      <c r="Y47" s="239"/>
      <c r="Z47" s="192"/>
      <c r="AA47" s="192"/>
      <c r="AB47" s="192"/>
      <c r="AC47" s="192"/>
      <c r="AD47" s="185"/>
      <c r="AE47" s="185"/>
      <c r="AI47" s="239"/>
      <c r="AL47" s="185"/>
      <c r="AM47" s="185"/>
      <c r="AN47" s="190"/>
      <c r="AO47" s="190"/>
      <c r="AP47" s="190"/>
      <c r="AQ47" s="279" t="s">
        <v>383</v>
      </c>
      <c r="AR47" s="280"/>
      <c r="AS47" s="279"/>
      <c r="AT47" s="279"/>
      <c r="AU47" s="280"/>
      <c r="AV47" s="279"/>
      <c r="AW47" s="279"/>
      <c r="AX47" s="280">
        <f>IF($AQ$47=$AR$35,$AR$36,0)+IF($AQ47=$AS$35,$AS$36,0)+IF($AQ47=$AT$35,$AT$36,0)</f>
        <v>0</v>
      </c>
      <c r="AY47" s="279"/>
      <c r="AZ47" s="279"/>
      <c r="BA47" s="280">
        <f>IF($AQ$47=$AR$35,$AR$36,0)+IF($AQ47=$AS$35,$AS$36,0)+IF($AQ47=$AT$35,$AT$36,0)</f>
        <v>0</v>
      </c>
      <c r="BB47" s="279"/>
      <c r="BC47" s="279"/>
    </row>
    <row r="48" spans="2:60" x14ac:dyDescent="0.25">
      <c r="C48" s="57"/>
      <c r="D48" s="190"/>
      <c r="E48" s="190"/>
      <c r="F48" s="190"/>
      <c r="G48" s="190"/>
      <c r="H48" s="190"/>
      <c r="I48" s="190"/>
      <c r="J48" s="190"/>
      <c r="K48" s="190"/>
      <c r="L48" s="190"/>
      <c r="M48" s="190"/>
      <c r="N48" s="190"/>
      <c r="O48" s="190"/>
      <c r="P48" s="100"/>
      <c r="R48" s="239"/>
      <c r="S48" s="240"/>
      <c r="T48" s="240"/>
      <c r="U48" s="240"/>
      <c r="V48" s="240"/>
      <c r="W48" s="57"/>
      <c r="Y48" s="239"/>
      <c r="Z48" s="192"/>
      <c r="AA48" s="192"/>
      <c r="AB48" s="192"/>
      <c r="AC48" s="192"/>
      <c r="AD48" s="185"/>
      <c r="AE48" s="185"/>
      <c r="AI48" s="239"/>
      <c r="AL48" s="185"/>
      <c r="AM48" s="185"/>
      <c r="AN48" s="190"/>
      <c r="AO48" s="190"/>
      <c r="AP48" s="190"/>
      <c r="AQ48" s="281"/>
      <c r="AR48" s="282">
        <f>SUM(AR40:AR47)</f>
        <v>0</v>
      </c>
      <c r="AS48" s="283">
        <f t="shared" ref="AS48:BC48" si="16">SUM(AS40:AS47)</f>
        <v>24.3</v>
      </c>
      <c r="AT48" s="283">
        <f t="shared" si="16"/>
        <v>24.3</v>
      </c>
      <c r="AU48" s="282">
        <f t="shared" si="16"/>
        <v>0</v>
      </c>
      <c r="AV48" s="283">
        <f t="shared" si="16"/>
        <v>24.3</v>
      </c>
      <c r="AW48" s="283">
        <f t="shared" si="16"/>
        <v>24.3</v>
      </c>
      <c r="AX48" s="282">
        <f t="shared" si="16"/>
        <v>0</v>
      </c>
      <c r="AY48" s="283">
        <f t="shared" si="16"/>
        <v>55.7</v>
      </c>
      <c r="AZ48" s="283">
        <f t="shared" si="16"/>
        <v>55.7</v>
      </c>
      <c r="BA48" s="282">
        <f t="shared" si="16"/>
        <v>0</v>
      </c>
      <c r="BB48" s="283">
        <f t="shared" si="16"/>
        <v>55.7</v>
      </c>
      <c r="BC48" s="283">
        <f t="shared" si="16"/>
        <v>55.7</v>
      </c>
    </row>
    <row r="49" spans="3:52" x14ac:dyDescent="0.25">
      <c r="C49" s="217" t="s">
        <v>410</v>
      </c>
      <c r="D49" s="218">
        <f>IF($D$25=0,"CHECK INPUT DATA!",IF(OR(SUM(D9:I9)=0,SUM(J9:O9)=0),0,ROUND(SUMPRODUCT(D9:O9,D44:O44)/P9,2)))</f>
        <v>64.72</v>
      </c>
      <c r="E49" s="218"/>
      <c r="F49" s="219"/>
      <c r="H49" s="190"/>
      <c r="I49" s="190"/>
      <c r="N49" s="190"/>
      <c r="O49" s="190"/>
      <c r="P49" s="100"/>
      <c r="R49" s="239"/>
      <c r="S49" s="12">
        <v>0</v>
      </c>
      <c r="T49" s="12">
        <v>0.85</v>
      </c>
      <c r="U49" s="12" t="s">
        <v>411</v>
      </c>
      <c r="V49" s="240"/>
      <c r="W49" s="57"/>
      <c r="Y49" s="239"/>
      <c r="Z49" s="192"/>
      <c r="AA49" s="192"/>
      <c r="AB49" s="192"/>
      <c r="AC49" s="192"/>
      <c r="AD49" s="185"/>
      <c r="AE49" s="185"/>
      <c r="AI49" s="239"/>
      <c r="AL49" s="185"/>
      <c r="AM49" s="185"/>
      <c r="AN49" s="190"/>
      <c r="AO49" s="190"/>
      <c r="AP49" s="190"/>
      <c r="AQ49" s="2"/>
      <c r="AR49" s="2"/>
      <c r="AS49" s="2"/>
      <c r="AT49" s="2"/>
      <c r="AU49" s="2"/>
      <c r="AV49" s="2"/>
      <c r="AW49" s="2"/>
    </row>
    <row r="50" spans="3:52" x14ac:dyDescent="0.25">
      <c r="C50" s="152" t="s">
        <v>412</v>
      </c>
      <c r="D50" s="100" t="str">
        <f>IF($D$25=0,"CHECK INPUT DATA",IF(D49=0,"N/A",VLOOKUP(D49,'LOS table'!$B$3:$D$8,3)))</f>
        <v>E</v>
      </c>
      <c r="E50" s="100"/>
      <c r="F50" s="190"/>
      <c r="G50" s="190"/>
      <c r="H50" s="190"/>
      <c r="I50" s="190"/>
      <c r="J50" s="190"/>
      <c r="K50" s="190"/>
      <c r="L50" s="190"/>
      <c r="M50" s="190"/>
      <c r="N50" s="190"/>
      <c r="O50" s="190"/>
      <c r="P50" s="100"/>
      <c r="R50" s="239"/>
      <c r="S50" s="12">
        <v>0.85</v>
      </c>
      <c r="T50" s="12">
        <v>0.95</v>
      </c>
      <c r="U50" s="12" t="s">
        <v>413</v>
      </c>
      <c r="V50" s="240"/>
      <c r="W50" s="57"/>
      <c r="Y50" s="239"/>
      <c r="Z50" s="192"/>
      <c r="AA50" s="192"/>
      <c r="AB50" s="192"/>
      <c r="AC50" s="192"/>
      <c r="AD50" s="185"/>
      <c r="AE50" s="185"/>
      <c r="AI50" s="239"/>
      <c r="AL50" s="185"/>
      <c r="AM50" s="185"/>
      <c r="AN50" s="190"/>
      <c r="AO50" s="190"/>
      <c r="AP50" s="190"/>
      <c r="AQ50" s="2"/>
      <c r="AR50" s="2"/>
      <c r="AS50" s="2"/>
      <c r="AT50" s="2"/>
      <c r="AU50" s="2"/>
      <c r="AV50" s="2"/>
      <c r="AW50" s="2"/>
    </row>
    <row r="51" spans="3:52" x14ac:dyDescent="0.25">
      <c r="C51" s="217" t="s">
        <v>414</v>
      </c>
      <c r="D51" s="220">
        <f>IF($D$25=0,"CHECK INPUT DATA",ROUND(P17/(1700*P4*'Input sheet'!W7*(1-D23/D25)),2))</f>
        <v>0.39</v>
      </c>
      <c r="E51" s="220"/>
      <c r="F51" s="190"/>
      <c r="G51" s="190"/>
      <c r="H51" s="190"/>
      <c r="I51" s="190"/>
      <c r="J51" s="190"/>
      <c r="K51" s="190"/>
      <c r="L51" s="190"/>
      <c r="M51" s="190"/>
      <c r="N51" s="190"/>
      <c r="O51" s="190"/>
      <c r="P51" s="100"/>
      <c r="R51" s="239"/>
      <c r="S51" s="12">
        <v>0.95</v>
      </c>
      <c r="T51" s="12">
        <v>1</v>
      </c>
      <c r="U51" s="12" t="s">
        <v>415</v>
      </c>
      <c r="V51" s="240"/>
      <c r="W51" s="57"/>
      <c r="Y51" s="239"/>
      <c r="Z51" s="192"/>
      <c r="AA51" s="192"/>
      <c r="AB51" s="192"/>
      <c r="AC51" s="192"/>
      <c r="AD51" s="185"/>
      <c r="AE51" s="185"/>
      <c r="AI51" s="239"/>
      <c r="AL51" s="185"/>
      <c r="AM51" s="185"/>
      <c r="AN51" s="190"/>
      <c r="AO51" s="190"/>
      <c r="AP51" s="190"/>
      <c r="AQ51" s="190"/>
      <c r="AS51" s="239"/>
      <c r="AT51" s="190"/>
      <c r="AU51" s="190"/>
      <c r="AV51" s="190"/>
      <c r="AW51" s="190"/>
      <c r="AY51" s="15"/>
    </row>
    <row r="52" spans="3:52" x14ac:dyDescent="0.25">
      <c r="C52" s="152" t="s">
        <v>416</v>
      </c>
      <c r="D52" s="100" t="str">
        <f>IF($D$25=0,"CHECK INPUT DATA",VLOOKUP(D51,S49:U52,3))</f>
        <v>Under Capacity</v>
      </c>
      <c r="E52" s="100"/>
      <c r="F52" s="190"/>
      <c r="G52" s="190"/>
      <c r="H52" s="190"/>
      <c r="I52" s="190"/>
      <c r="J52" s="190"/>
      <c r="K52" s="190"/>
      <c r="L52" s="190"/>
      <c r="M52" s="190"/>
      <c r="N52" s="190"/>
      <c r="O52" s="190"/>
      <c r="P52" s="100"/>
      <c r="R52" s="239"/>
      <c r="S52" s="12">
        <v>1</v>
      </c>
      <c r="T52" s="12">
        <v>100</v>
      </c>
      <c r="U52" s="12" t="s">
        <v>417</v>
      </c>
      <c r="V52" s="240"/>
      <c r="W52" s="57"/>
      <c r="Y52" s="239"/>
      <c r="Z52" s="192"/>
      <c r="AA52" s="192"/>
      <c r="AB52" s="192"/>
      <c r="AC52" s="192"/>
      <c r="AD52" s="185"/>
      <c r="AE52" s="185"/>
      <c r="AI52" s="239"/>
      <c r="AL52" s="185"/>
      <c r="AM52" s="185"/>
      <c r="AN52" s="190"/>
      <c r="AO52" s="190"/>
      <c r="AP52" s="190"/>
      <c r="AQ52" s="190"/>
      <c r="AS52" s="239"/>
      <c r="AT52" s="190"/>
      <c r="AU52" s="190"/>
      <c r="AV52" s="190"/>
      <c r="AW52" s="190"/>
      <c r="AY52" s="15"/>
    </row>
    <row r="53" spans="3:52" x14ac:dyDescent="0.25">
      <c r="C53" s="57"/>
      <c r="D53" s="190"/>
      <c r="E53" s="190"/>
      <c r="F53" s="190"/>
      <c r="G53" s="190"/>
      <c r="H53" s="190"/>
      <c r="I53" s="190"/>
      <c r="J53" s="190"/>
      <c r="K53" s="190"/>
      <c r="L53" s="190"/>
      <c r="M53" s="190"/>
      <c r="N53" s="190"/>
      <c r="O53" s="190"/>
      <c r="P53" s="100"/>
      <c r="R53" s="239"/>
      <c r="S53" s="240"/>
      <c r="T53" s="240"/>
      <c r="U53" s="240"/>
      <c r="V53" s="240"/>
      <c r="W53" s="57"/>
      <c r="Y53" s="239"/>
      <c r="Z53" s="192"/>
      <c r="AA53" s="192"/>
      <c r="AB53" s="192"/>
      <c r="AC53" s="192"/>
      <c r="AD53" s="185"/>
      <c r="AE53" s="185"/>
      <c r="AI53" s="239"/>
      <c r="AL53" s="185"/>
      <c r="AM53" s="185"/>
      <c r="AN53" s="190"/>
      <c r="AO53" s="190"/>
      <c r="AP53" s="190"/>
      <c r="AQ53" s="190"/>
      <c r="AS53" s="239"/>
      <c r="AT53" s="190"/>
      <c r="AU53" s="190"/>
      <c r="AV53" s="190"/>
      <c r="AW53" s="190"/>
      <c r="AY53" s="15"/>
    </row>
    <row r="54" spans="3:52" x14ac:dyDescent="0.25">
      <c r="C54" s="2" t="s">
        <v>71</v>
      </c>
      <c r="D54" s="2">
        <f>ROUND(SUMPRODUCT(D66:D68,E66:E68),0)</f>
        <v>756</v>
      </c>
      <c r="E54" s="2">
        <f>IF($D$25=0,0,IF(E41=0,0,E11))</f>
        <v>4590</v>
      </c>
      <c r="F54" s="2">
        <f>IF($D$25=0,0,IF(AND(F6=0,F3&gt;0),ROUND(0.25*E54,0),F11))</f>
        <v>1530</v>
      </c>
      <c r="G54" s="2">
        <f>ROUND(SUMPRODUCT(G66:G68,H66:H68),0)</f>
        <v>770</v>
      </c>
      <c r="H54" s="2">
        <f>IF($D$25=0,0,IF(H41=0,0,H11))</f>
        <v>4590</v>
      </c>
      <c r="I54" s="2">
        <f>IF($D$25=0,0,IF(AND(I6=0,I3&gt;0),ROUND(0.25*H54,0),I11))</f>
        <v>1530</v>
      </c>
      <c r="J54" s="2">
        <f>ROUND(SUMPRODUCT(J66:J68,K66:K68),0)</f>
        <v>555</v>
      </c>
      <c r="K54" s="2">
        <f>IF($D$25=0,0,IF(K41=0,0,K11))</f>
        <v>3060</v>
      </c>
      <c r="L54" s="2">
        <f>IF($D$25=0,0,IF(AND(L6=0,L3&gt;0),ROUND(0.25*K54,0),L11))</f>
        <v>1530</v>
      </c>
      <c r="M54" s="2">
        <f>ROUND(SUMPRODUCT(M66:M68,N66:N68),0)</f>
        <v>695</v>
      </c>
      <c r="N54" s="2">
        <f>IF($D$25=0,0,IF(N41=0,0,N11))</f>
        <v>3060</v>
      </c>
      <c r="O54" s="2">
        <f>IF($D$25=0,0,IF(AND(O6=0,O3&gt;0),ROUND(0.25*N54,0),O11))</f>
        <v>1530</v>
      </c>
      <c r="Z54" s="185"/>
      <c r="AA54" s="185"/>
      <c r="AB54" s="185"/>
      <c r="AC54" s="185"/>
      <c r="AD54" s="185"/>
      <c r="AE54" s="185"/>
    </row>
    <row r="55" spans="3:52" x14ac:dyDescent="0.25">
      <c r="C55" s="2" t="s">
        <v>112</v>
      </c>
      <c r="D55" s="2">
        <f t="shared" ref="D55:O55" si="17">IF($D$25=0,0,D38/$D$25)</f>
        <v>0.4</v>
      </c>
      <c r="E55" s="2">
        <f t="shared" si="17"/>
        <v>0.4</v>
      </c>
      <c r="F55" s="2">
        <f t="shared" si="17"/>
        <v>0.4</v>
      </c>
      <c r="G55" s="2">
        <f t="shared" si="17"/>
        <v>0.4</v>
      </c>
      <c r="H55" s="2">
        <f t="shared" si="17"/>
        <v>0.4</v>
      </c>
      <c r="I55" s="2">
        <f t="shared" si="17"/>
        <v>0.4</v>
      </c>
      <c r="J55" s="2">
        <f t="shared" si="17"/>
        <v>0.5</v>
      </c>
      <c r="K55" s="2">
        <f t="shared" si="17"/>
        <v>0.5</v>
      </c>
      <c r="L55" s="2">
        <f t="shared" si="17"/>
        <v>0.5</v>
      </c>
      <c r="M55" s="2">
        <f t="shared" si="17"/>
        <v>0.5</v>
      </c>
      <c r="N55" s="2">
        <f t="shared" si="17"/>
        <v>0.5</v>
      </c>
      <c r="O55" s="2">
        <f t="shared" si="17"/>
        <v>0.5</v>
      </c>
      <c r="R55" s="15" t="s">
        <v>199</v>
      </c>
      <c r="S55" s="240">
        <f>IF(W44=0,0,ROUND(S44*$D$25/$W$44,0))</f>
        <v>0</v>
      </c>
      <c r="T55" s="240">
        <f>IF(W44=0,0,ROUND(T44*$D$25/$W$44,0))</f>
        <v>49</v>
      </c>
      <c r="U55" s="240">
        <f>IF(W44=0,0,ROUND(U44*$D$25/$W$44,0))</f>
        <v>0</v>
      </c>
      <c r="V55" s="240">
        <f>IF(W44=0,0,ROUND(V44*$D$25/$W$44,0))</f>
        <v>31</v>
      </c>
      <c r="X55" s="5">
        <f>SUM(S55:T55)</f>
        <v>49</v>
      </c>
      <c r="Y55" s="5">
        <f>SUM(U55:V55)</f>
        <v>31</v>
      </c>
      <c r="Z55" s="239"/>
      <c r="AA55" s="15" t="s">
        <v>199</v>
      </c>
      <c r="AB55" s="240">
        <f>IF(X55=0,0,S31*MAX(Z44,ROUNDDOWN($X$58/X55*S55,0)))</f>
        <v>0</v>
      </c>
      <c r="AC55" s="240">
        <f>IF(X55=0,0,T31*MAX(AA44,ROUNDUP($X$58/X55*T55,0)))</f>
        <v>44</v>
      </c>
      <c r="AD55" s="240">
        <f>IF(Y55=0,0,U31*MAX(AB44,ROUNDDOWN($Y$58/Y55*U55,0)))</f>
        <v>0</v>
      </c>
      <c r="AE55" s="240">
        <f>IF(Y55=0,0,V31*MAX(AC44,ROUNDUP($Y$58/Y55*V55,0)))</f>
        <v>36</v>
      </c>
      <c r="AF55" s="239"/>
      <c r="AG55" s="15" t="s">
        <v>199</v>
      </c>
      <c r="AH55" s="240">
        <f>IF(AND(AC55=AA44,AB55+AC55&gt;X58),X58-AC57,AB57)</f>
        <v>0</v>
      </c>
      <c r="AI55" s="240">
        <f>IF(AND(AB55=Z44,AB55+AC55&gt;X58),X58-AB57,AC57)</f>
        <v>44</v>
      </c>
      <c r="AJ55" s="240">
        <f>IF(AND(AE55=AC44,AD55+AE55&gt;Y58),Y58-AE57,AD57)</f>
        <v>0</v>
      </c>
      <c r="AK55" s="240">
        <f>IF(AND(AD55=AB44,AD55+AE55&gt;Y58),Y58-AD57,AE57)</f>
        <v>36</v>
      </c>
      <c r="AL55" s="271"/>
      <c r="AN55" s="15"/>
      <c r="AO55" s="190"/>
      <c r="AP55" s="190"/>
      <c r="AQ55" s="190"/>
      <c r="AR55" s="190"/>
      <c r="AU55" s="15"/>
      <c r="AV55" s="190"/>
      <c r="AW55" s="190"/>
      <c r="AX55" s="190"/>
      <c r="AY55" s="190"/>
      <c r="AZ55" s="57"/>
    </row>
    <row r="56" spans="3:52" x14ac:dyDescent="0.25">
      <c r="D56" s="430" t="s">
        <v>13</v>
      </c>
      <c r="E56" s="430"/>
      <c r="G56" s="430" t="s">
        <v>18</v>
      </c>
      <c r="H56" s="430"/>
      <c r="J56" s="430" t="s">
        <v>3</v>
      </c>
      <c r="K56" s="430"/>
      <c r="M56" s="430" t="s">
        <v>8</v>
      </c>
      <c r="N56" s="430"/>
      <c r="R56" s="239" t="s">
        <v>200</v>
      </c>
      <c r="S56" s="240">
        <f>IF(W45=0,0,ROUND(S45*$D$25/$W$45,0))</f>
        <v>0</v>
      </c>
      <c r="T56" s="240">
        <f>IF(W45=0,0,ROUND(T45*$D$25/$W$45,0))</f>
        <v>49</v>
      </c>
      <c r="U56" s="240">
        <f>IF(W45=0,0,ROUND(U45*$D$25/$W$45,0))</f>
        <v>0</v>
      </c>
      <c r="V56" s="240">
        <f>IF(W45=0,0,ROUND(V45*$D$25/$W$45,0))</f>
        <v>31</v>
      </c>
      <c r="X56" s="5">
        <f>SUM(S56:T56)</f>
        <v>49</v>
      </c>
      <c r="Y56" s="5">
        <f>SUM(U56:V56)</f>
        <v>31</v>
      </c>
      <c r="Z56" s="259"/>
      <c r="AA56" s="239" t="s">
        <v>200</v>
      </c>
      <c r="AB56" s="240">
        <f>IF(X56=0,0,S32*MAX(Z45,ROUNDDOWN($X$58/X56*S56,0)))</f>
        <v>0</v>
      </c>
      <c r="AC56" s="240">
        <f>IF(X56=0,0,T32*MAX(AA45,ROUNDUP($X$58/X56*T56,0)))</f>
        <v>44</v>
      </c>
      <c r="AD56" s="240">
        <f>IF(Y56=0,0,U32*MAX(AB45,ROUNDDOWN($Y$58/Y56*U56,0)))</f>
        <v>0</v>
      </c>
      <c r="AE56" s="240">
        <f>IF(Y56=0,0,V32*MAX(AC45,ROUNDUP($Y$58/Y56*V56,0)))</f>
        <v>36</v>
      </c>
      <c r="AF56" s="239"/>
      <c r="AG56" s="239" t="s">
        <v>200</v>
      </c>
      <c r="AH56" s="240">
        <f>IF(AND(AC56=AA45,AB56+AC56&gt;X58),X58-AC56,AB58)</f>
        <v>0</v>
      </c>
      <c r="AI56" s="240">
        <f>IF(AND(AB56=Z45,AB56+AC56&gt;X58),X58-AB58,AC58)</f>
        <v>44</v>
      </c>
      <c r="AJ56" s="240">
        <f>IF(AND(AE56=AC45,AD56+AE56&gt;Y58),Y58-AE58,AD58)</f>
        <v>0</v>
      </c>
      <c r="AK56" s="240">
        <f>IF(AND(AD56=AB45,AD56+AE56&gt;Y58),Y58-AD58,AE58)</f>
        <v>36</v>
      </c>
      <c r="AL56" s="271"/>
      <c r="AN56" s="239"/>
      <c r="AO56" s="190"/>
      <c r="AP56" s="190"/>
      <c r="AQ56" s="190"/>
      <c r="AR56" s="190"/>
      <c r="AU56" s="239"/>
      <c r="AV56" s="190"/>
      <c r="AW56" s="190"/>
      <c r="AX56" s="190"/>
      <c r="AY56" s="190"/>
      <c r="AZ56" s="57"/>
    </row>
    <row r="57" spans="3:52" x14ac:dyDescent="0.25">
      <c r="C57" s="2" t="s">
        <v>418</v>
      </c>
      <c r="D57" s="2">
        <f>D97</f>
        <v>112</v>
      </c>
      <c r="E57" s="2">
        <f>IF('Phase designation'!C22=2,1,0)</f>
        <v>1</v>
      </c>
      <c r="G57" s="2">
        <f>G97</f>
        <v>112</v>
      </c>
      <c r="H57" s="2">
        <f>IF('Phase designation'!E22=2,1,0)</f>
        <v>1</v>
      </c>
      <c r="J57" s="2">
        <f>J97</f>
        <v>104</v>
      </c>
      <c r="K57" s="2">
        <f>IF('Phase designation'!G22=2,1,0)</f>
        <v>1</v>
      </c>
      <c r="M57" s="2">
        <f>M97</f>
        <v>107</v>
      </c>
      <c r="N57" s="2">
        <f>IF('Phase designation'!I22=2,1,0)</f>
        <v>1</v>
      </c>
      <c r="X57" s="6">
        <f>MAX(AD45,MAX(X55:X56))</f>
        <v>49</v>
      </c>
      <c r="Y57" s="6">
        <f>MAX(AE45,MAX(Y55:Y56))</f>
        <v>36</v>
      </c>
      <c r="Z57" s="259"/>
      <c r="AA57" s="15" t="s">
        <v>199</v>
      </c>
      <c r="AB57" s="240">
        <f>AB55</f>
        <v>0</v>
      </c>
      <c r="AC57" s="240">
        <f t="shared" ref="AC57:AE58" si="18">AC55</f>
        <v>44</v>
      </c>
      <c r="AD57" s="240">
        <f t="shared" si="18"/>
        <v>0</v>
      </c>
      <c r="AE57" s="240">
        <f t="shared" si="18"/>
        <v>36</v>
      </c>
    </row>
    <row r="58" spans="3:52" x14ac:dyDescent="0.25">
      <c r="C58" s="2" t="s">
        <v>419</v>
      </c>
      <c r="D58" s="2">
        <f>D96</f>
        <v>0</v>
      </c>
      <c r="E58" s="2">
        <f>IF('Phase designation'!C22=1,1,0)</f>
        <v>0</v>
      </c>
      <c r="G58" s="2">
        <f>G96</f>
        <v>0</v>
      </c>
      <c r="H58" s="2">
        <f>IF('Phase designation'!E22=1,1,0)</f>
        <v>0</v>
      </c>
      <c r="J58" s="2">
        <f>J96</f>
        <v>0</v>
      </c>
      <c r="K58" s="2">
        <f>IF('Phase designation'!G22=1,1,0)</f>
        <v>0</v>
      </c>
      <c r="M58" s="2">
        <f>M96</f>
        <v>0</v>
      </c>
      <c r="N58" s="2">
        <f>IF('Phase designation'!I22=1,1,0)</f>
        <v>0</v>
      </c>
      <c r="X58" s="8">
        <f>D25-MIN(X57:Y57)</f>
        <v>44</v>
      </c>
      <c r="Y58" s="8">
        <f>D25-X58</f>
        <v>36</v>
      </c>
      <c r="Z58" s="239"/>
      <c r="AA58" s="239" t="s">
        <v>200</v>
      </c>
      <c r="AB58" s="240">
        <f>AB56</f>
        <v>0</v>
      </c>
      <c r="AC58" s="240">
        <f t="shared" si="18"/>
        <v>44</v>
      </c>
      <c r="AD58" s="240">
        <f t="shared" si="18"/>
        <v>0</v>
      </c>
      <c r="AE58" s="240">
        <f t="shared" si="18"/>
        <v>36</v>
      </c>
      <c r="AF58" s="260" t="s">
        <v>420</v>
      </c>
    </row>
    <row r="59" spans="3:52" s="57" customFormat="1" x14ac:dyDescent="0.25">
      <c r="C59" s="57" t="s">
        <v>421</v>
      </c>
      <c r="D59" s="57">
        <f>D104</f>
        <v>112</v>
      </c>
      <c r="E59" s="57">
        <f>IF('Phase designation'!C22=3,1,0)</f>
        <v>0</v>
      </c>
      <c r="G59" s="57">
        <f>G104</f>
        <v>112</v>
      </c>
      <c r="H59" s="57">
        <f>IF('Phase designation'!E22=3,1,0)</f>
        <v>0</v>
      </c>
      <c r="J59" s="57">
        <f>J104</f>
        <v>104</v>
      </c>
      <c r="K59" s="57">
        <f>IF('Phase designation'!G22=3,1,0)</f>
        <v>0</v>
      </c>
      <c r="M59" s="57">
        <f>M104</f>
        <v>107</v>
      </c>
      <c r="N59" s="57">
        <f>IF('Phase designation'!I22=3,1,0)</f>
        <v>0</v>
      </c>
      <c r="R59" s="241"/>
      <c r="S59" s="242"/>
      <c r="T59" s="242"/>
      <c r="U59" s="242"/>
      <c r="V59" s="242"/>
      <c r="W59" s="243" t="s">
        <v>422</v>
      </c>
      <c r="X59" s="244" t="s">
        <v>403</v>
      </c>
      <c r="Y59" s="261" t="s">
        <v>404</v>
      </c>
      <c r="Z59" s="239"/>
      <c r="AB59" s="185"/>
      <c r="AC59" s="185"/>
      <c r="AD59" s="185"/>
      <c r="AE59" s="185"/>
      <c r="AF59" s="185"/>
      <c r="AG59" s="185"/>
      <c r="AH59" s="185"/>
      <c r="AI59" s="185"/>
      <c r="AJ59" s="185"/>
      <c r="AK59" s="185"/>
    </row>
    <row r="60" spans="3:52" s="57" customFormat="1" x14ac:dyDescent="0.25">
      <c r="C60" s="2" t="s">
        <v>423</v>
      </c>
      <c r="D60" s="2">
        <f>D103</f>
        <v>342</v>
      </c>
      <c r="E60" s="57">
        <f>IF(AND(D6=0,D3&gt;0),1,0)</f>
        <v>0</v>
      </c>
      <c r="G60" s="2">
        <f>G103</f>
        <v>347</v>
      </c>
      <c r="H60" s="57">
        <f>IF(AND(G6=0,G3&gt;0),1,0)</f>
        <v>0</v>
      </c>
      <c r="J60" s="2">
        <f>J103</f>
        <v>315</v>
      </c>
      <c r="K60" s="57">
        <f>IF(AND(J6=0,J3&gt;0),1,0)</f>
        <v>0</v>
      </c>
      <c r="M60" s="2">
        <f>M103</f>
        <v>382</v>
      </c>
      <c r="N60" s="57">
        <f>IF(AND(M6=0,M3&gt;0),1,0)</f>
        <v>0</v>
      </c>
      <c r="R60" s="245" t="s">
        <v>199</v>
      </c>
      <c r="S60" s="246">
        <f t="shared" ref="S60:V61" si="19">AH55</f>
        <v>0</v>
      </c>
      <c r="T60" s="246">
        <f t="shared" si="19"/>
        <v>44</v>
      </c>
      <c r="U60" s="246">
        <f t="shared" si="19"/>
        <v>0</v>
      </c>
      <c r="V60" s="246">
        <f t="shared" si="19"/>
        <v>36</v>
      </c>
      <c r="W60" s="175">
        <f>SUM(S60:V60)</f>
        <v>80</v>
      </c>
      <c r="X60" s="247">
        <f>S60+T60</f>
        <v>44</v>
      </c>
      <c r="Y60" s="262">
        <f>U60+V60</f>
        <v>36</v>
      </c>
      <c r="Z60" s="239"/>
      <c r="AA60" s="15" t="s">
        <v>199</v>
      </c>
      <c r="AB60" s="240">
        <f t="shared" ref="AB60:AE61" si="20">IF(S60&lt;Z44,1,0)</f>
        <v>0</v>
      </c>
      <c r="AC60" s="240">
        <f t="shared" si="20"/>
        <v>0</v>
      </c>
      <c r="AD60" s="240">
        <f t="shared" si="20"/>
        <v>0</v>
      </c>
      <c r="AE60" s="240">
        <f t="shared" si="20"/>
        <v>0</v>
      </c>
      <c r="AF60" s="185"/>
      <c r="AG60" s="192"/>
      <c r="AH60" s="192"/>
      <c r="AI60" s="192"/>
      <c r="AJ60" s="192"/>
      <c r="AK60" s="185"/>
    </row>
    <row r="61" spans="3:52" s="57" customFormat="1" x14ac:dyDescent="0.25">
      <c r="R61" s="248" t="s">
        <v>200</v>
      </c>
      <c r="S61" s="249">
        <f t="shared" si="19"/>
        <v>0</v>
      </c>
      <c r="T61" s="249">
        <f t="shared" si="19"/>
        <v>44</v>
      </c>
      <c r="U61" s="249">
        <f t="shared" si="19"/>
        <v>0</v>
      </c>
      <c r="V61" s="249">
        <f t="shared" si="19"/>
        <v>36</v>
      </c>
      <c r="W61" s="250">
        <f>SUM(S61:V61)</f>
        <v>80</v>
      </c>
      <c r="X61" s="251">
        <f>S61+T61</f>
        <v>44</v>
      </c>
      <c r="Y61" s="263">
        <f>U61+V61</f>
        <v>36</v>
      </c>
      <c r="Z61" s="239"/>
      <c r="AA61" s="239" t="s">
        <v>200</v>
      </c>
      <c r="AB61" s="240">
        <f t="shared" si="20"/>
        <v>0</v>
      </c>
      <c r="AC61" s="240">
        <f t="shared" si="20"/>
        <v>0</v>
      </c>
      <c r="AD61" s="240">
        <f t="shared" si="20"/>
        <v>0</v>
      </c>
      <c r="AE61" s="240">
        <f t="shared" si="20"/>
        <v>0</v>
      </c>
      <c r="AF61" s="264">
        <f>SUM(AB60:AE61)</f>
        <v>0</v>
      </c>
      <c r="AG61" s="192"/>
      <c r="AH61" s="192"/>
      <c r="AI61" s="192"/>
      <c r="AJ61" s="192"/>
      <c r="AK61" s="185"/>
    </row>
    <row r="62" spans="3:52" x14ac:dyDescent="0.25">
      <c r="C62" s="2" t="s">
        <v>424</v>
      </c>
      <c r="D62" s="57">
        <f>MAX(0,E37)</f>
        <v>29.900000000000002</v>
      </c>
      <c r="E62" s="57">
        <f>E57</f>
        <v>1</v>
      </c>
      <c r="F62" s="57"/>
      <c r="G62" s="57">
        <f>MAX(0,H37)</f>
        <v>29.900000000000002</v>
      </c>
      <c r="H62" s="57">
        <f>H57</f>
        <v>1</v>
      </c>
      <c r="I62" s="57"/>
      <c r="J62" s="57">
        <f>MAX(0,K37)</f>
        <v>38.299999999999997</v>
      </c>
      <c r="K62" s="57">
        <f>K57</f>
        <v>1</v>
      </c>
      <c r="L62" s="57"/>
      <c r="M62" s="57">
        <f>MAX(0,N37)</f>
        <v>38.299999999999997</v>
      </c>
      <c r="N62" s="57">
        <f>N57</f>
        <v>1</v>
      </c>
      <c r="O62" s="57"/>
      <c r="Y62" s="57"/>
      <c r="AA62" s="260"/>
      <c r="AB62" s="260"/>
      <c r="AC62" s="260"/>
      <c r="AD62" s="260"/>
      <c r="AE62" s="260"/>
      <c r="AF62" s="265"/>
      <c r="AG62" s="265"/>
      <c r="AH62" s="265"/>
      <c r="AI62" s="265"/>
      <c r="AJ62" s="265"/>
    </row>
    <row r="63" spans="3:52" x14ac:dyDescent="0.25">
      <c r="C63" s="2" t="s">
        <v>425</v>
      </c>
      <c r="D63" s="2">
        <f>MAX(0,D34-D35-D36)</f>
        <v>0</v>
      </c>
      <c r="E63" s="57">
        <f>E58</f>
        <v>0</v>
      </c>
      <c r="F63" s="57"/>
      <c r="G63" s="2">
        <f>MAX(0,G34-G35-G36)</f>
        <v>0</v>
      </c>
      <c r="H63" s="57">
        <f>H58</f>
        <v>0</v>
      </c>
      <c r="I63" s="57"/>
      <c r="J63" s="2">
        <f>MAX(0,J34-J35-J36)</f>
        <v>0</v>
      </c>
      <c r="K63" s="57">
        <f>K58</f>
        <v>0</v>
      </c>
      <c r="L63" s="57"/>
      <c r="M63" s="2">
        <f>MAX(0,M34-M35-M36)</f>
        <v>0</v>
      </c>
      <c r="N63" s="57">
        <f>N58</f>
        <v>0</v>
      </c>
      <c r="O63" s="57"/>
      <c r="R63" s="2">
        <f>S29</f>
        <v>0</v>
      </c>
      <c r="S63" s="2">
        <f>T29</f>
        <v>2</v>
      </c>
      <c r="T63" s="2">
        <f>U29</f>
        <v>0</v>
      </c>
      <c r="U63" s="2">
        <f>V29</f>
        <v>4</v>
      </c>
      <c r="V63" s="2">
        <f>S30</f>
        <v>0</v>
      </c>
      <c r="W63" s="2">
        <f>T30</f>
        <v>6</v>
      </c>
      <c r="X63" s="2">
        <f>U30</f>
        <v>0</v>
      </c>
      <c r="Y63" s="2">
        <f>V30</f>
        <v>8</v>
      </c>
    </row>
    <row r="64" spans="3:52" x14ac:dyDescent="0.25">
      <c r="C64" s="57" t="s">
        <v>426</v>
      </c>
      <c r="D64" s="2">
        <f>MAX(0,D63+D62-D35-D36)</f>
        <v>23.800000000000004</v>
      </c>
      <c r="E64" s="57">
        <f>E59</f>
        <v>0</v>
      </c>
      <c r="F64" s="57"/>
      <c r="G64" s="2">
        <f>MAX(0,G63+G62-G35-G36)</f>
        <v>23.800000000000004</v>
      </c>
      <c r="H64" s="57">
        <f>H59</f>
        <v>0</v>
      </c>
      <c r="I64" s="57"/>
      <c r="J64" s="2">
        <f>MAX(0,J63+J62-J35-J36)</f>
        <v>32.599999999999994</v>
      </c>
      <c r="K64" s="57">
        <f>K59</f>
        <v>0</v>
      </c>
      <c r="L64" s="57"/>
      <c r="M64" s="2">
        <f>MAX(0,M63+M62-M35-M36)</f>
        <v>32.599999999999994</v>
      </c>
      <c r="N64" s="57">
        <f>N59</f>
        <v>0</v>
      </c>
      <c r="R64" s="2">
        <f>D83</f>
        <v>0</v>
      </c>
      <c r="S64" s="2">
        <f>E83</f>
        <v>44</v>
      </c>
      <c r="T64" s="2">
        <f>F83</f>
        <v>0</v>
      </c>
      <c r="U64" s="2">
        <f>G83</f>
        <v>36</v>
      </c>
      <c r="V64" s="2">
        <f>D84</f>
        <v>0</v>
      </c>
      <c r="W64" s="2">
        <f>E84</f>
        <v>44</v>
      </c>
      <c r="X64" s="2">
        <f>F84</f>
        <v>0</v>
      </c>
      <c r="Y64" s="2">
        <f>G84</f>
        <v>36</v>
      </c>
    </row>
    <row r="65" spans="3:25" x14ac:dyDescent="0.25">
      <c r="R65" s="2">
        <f>D33</f>
        <v>0</v>
      </c>
      <c r="S65" s="2">
        <f>E33</f>
        <v>4</v>
      </c>
      <c r="T65" s="2">
        <f>G33</f>
        <v>0</v>
      </c>
      <c r="U65" s="2">
        <f>H33</f>
        <v>8</v>
      </c>
      <c r="V65" s="2">
        <f>J33</f>
        <v>0</v>
      </c>
      <c r="W65" s="2">
        <f>K33</f>
        <v>2</v>
      </c>
      <c r="X65" s="2">
        <f>M33</f>
        <v>0</v>
      </c>
      <c r="Y65" s="2">
        <f>N33</f>
        <v>6</v>
      </c>
    </row>
    <row r="66" spans="3:25" x14ac:dyDescent="0.25">
      <c r="C66" s="2" t="s">
        <v>427</v>
      </c>
      <c r="D66" s="2">
        <f>D14</f>
        <v>756</v>
      </c>
      <c r="E66" s="2">
        <f>E62</f>
        <v>1</v>
      </c>
      <c r="G66" s="2">
        <f>G14</f>
        <v>770</v>
      </c>
      <c r="H66" s="2">
        <f>H62</f>
        <v>1</v>
      </c>
      <c r="J66" s="2">
        <f>J14</f>
        <v>555</v>
      </c>
      <c r="K66" s="2">
        <f>K62</f>
        <v>1</v>
      </c>
      <c r="M66" s="2">
        <f>M14</f>
        <v>695</v>
      </c>
      <c r="N66" s="2">
        <f>N62</f>
        <v>1</v>
      </c>
    </row>
    <row r="67" spans="3:25" x14ac:dyDescent="0.25">
      <c r="C67" s="2" t="s">
        <v>428</v>
      </c>
      <c r="D67" s="2">
        <f>D11</f>
        <v>0</v>
      </c>
      <c r="E67" s="2">
        <f>E63</f>
        <v>0</v>
      </c>
      <c r="G67" s="2">
        <f>G11</f>
        <v>0</v>
      </c>
      <c r="H67" s="2">
        <f>H63</f>
        <v>0</v>
      </c>
      <c r="J67" s="2">
        <f>J11</f>
        <v>0</v>
      </c>
      <c r="K67" s="2">
        <f>K63</f>
        <v>0</v>
      </c>
      <c r="M67" s="2">
        <f>M11</f>
        <v>0</v>
      </c>
      <c r="N67" s="2">
        <f>N63</f>
        <v>0</v>
      </c>
    </row>
    <row r="68" spans="3:25" x14ac:dyDescent="0.25">
      <c r="C68" s="2" t="s">
        <v>429</v>
      </c>
      <c r="D68" s="172">
        <f>IF(D64=0,0,(D67*D63+D66*D62)/D64)</f>
        <v>949.76470588235281</v>
      </c>
      <c r="E68" s="2">
        <f>E64</f>
        <v>0</v>
      </c>
      <c r="G68" s="172">
        <f>IF(G64=0,0,(G67*G63+G66*G62)/G64)</f>
        <v>967.35294117647038</v>
      </c>
      <c r="H68" s="2">
        <f>H64</f>
        <v>0</v>
      </c>
      <c r="J68" s="172">
        <f>IF(J64=0,0,(J67*J63+J66*J62)/J64)</f>
        <v>652.03987730061363</v>
      </c>
      <c r="K68" s="2">
        <f>K64</f>
        <v>0</v>
      </c>
      <c r="M68" s="172">
        <f>IF(M64=0,0,(M67*M63+M66*M62)/M64)</f>
        <v>816.51840490797554</v>
      </c>
      <c r="N68" s="2">
        <f>N64</f>
        <v>0</v>
      </c>
    </row>
    <row r="69" spans="3:25" x14ac:dyDescent="0.25">
      <c r="R69" s="57">
        <f>IF(R65=0,0,MATCH(R65,$R$63:$Y$63,0))</f>
        <v>0</v>
      </c>
      <c r="S69" s="57">
        <f t="shared" ref="S69:Y69" si="21">IF(S65=0,0,MATCH(S65,$R$63:$Y$63,0))</f>
        <v>4</v>
      </c>
      <c r="T69" s="57">
        <f t="shared" si="21"/>
        <v>0</v>
      </c>
      <c r="U69" s="57">
        <f t="shared" si="21"/>
        <v>8</v>
      </c>
      <c r="V69" s="57">
        <f t="shared" si="21"/>
        <v>0</v>
      </c>
      <c r="W69" s="57">
        <f t="shared" si="21"/>
        <v>2</v>
      </c>
      <c r="X69" s="57">
        <f t="shared" si="21"/>
        <v>0</v>
      </c>
      <c r="Y69" s="57">
        <f t="shared" si="21"/>
        <v>6</v>
      </c>
    </row>
    <row r="70" spans="3:25" x14ac:dyDescent="0.25">
      <c r="D70" s="2" t="s">
        <v>13</v>
      </c>
      <c r="G70" s="2" t="s">
        <v>18</v>
      </c>
      <c r="J70" s="2" t="s">
        <v>3</v>
      </c>
      <c r="M70" s="2" t="s">
        <v>8</v>
      </c>
      <c r="R70" s="57"/>
      <c r="S70" s="57"/>
      <c r="T70" s="57"/>
      <c r="U70" s="57"/>
      <c r="V70" s="57"/>
      <c r="W70" s="57"/>
      <c r="X70" s="57"/>
      <c r="Y70" s="57"/>
    </row>
    <row r="71" spans="3:25" x14ac:dyDescent="0.25">
      <c r="C71" s="2" t="s">
        <v>430</v>
      </c>
      <c r="D71" s="2">
        <f>IF(D34&lt;G34,MAX(0,MIN(D34+H34-G34-E35-E36,H34-E35-E36-H37)),H34-E35-E36-H37)</f>
        <v>0</v>
      </c>
      <c r="G71" s="2">
        <f>IF(G34&lt;D34,MAX(0,MIN(G34+E34-D34-H35-H36,E34-H35-H36-E37)),E34-H35-H36-E37)</f>
        <v>0</v>
      </c>
      <c r="J71" s="2">
        <f>IF(J34&lt;M34,MAX(0,MIN(J34+N34-M34-K35-K36,N34-K35-K36-N37)),N34-K35-K36-N37)</f>
        <v>0</v>
      </c>
      <c r="M71" s="2">
        <f>IF(M34&lt;J34,MAX(0,MIN(M34+K34-J34-N35-N36,K34-N35-N36-K37)),K34-N35-N36-K37)</f>
        <v>0</v>
      </c>
      <c r="R71" s="57"/>
      <c r="S71" s="57"/>
      <c r="T71" s="57"/>
      <c r="U71" s="57"/>
      <c r="V71" s="57"/>
      <c r="W71" s="57"/>
      <c r="X71" s="57"/>
      <c r="Y71" s="57"/>
    </row>
    <row r="72" spans="3:25" x14ac:dyDescent="0.25">
      <c r="C72" s="2" t="s">
        <v>431</v>
      </c>
      <c r="D72" s="2">
        <f>IF(D34&lt;G34,MAX(0,MIN(D34+H34-G34-E35-E36,H34-E35-E36)),H34-E35-E36)</f>
        <v>29.900000000000002</v>
      </c>
      <c r="G72" s="2">
        <f>IF(G34&lt;D34,MAX(0,MIN(G34+E34-D34-H35-H36,E34-H35-H36)),E34-H35-H36)</f>
        <v>29.900000000000002</v>
      </c>
      <c r="J72" s="2">
        <f>IF(J34&lt;M34,MAX(0,MIN(J34+N34-M34-K35-K36,N34-K35-K36)),N34-K35-K36)</f>
        <v>38.299999999999997</v>
      </c>
      <c r="M72" s="2">
        <f>IF(M34&lt;J34,MAX(0,MIN(M34+K34-J34-N35-N36,K34-N35-N36)),K34-N35-N36)</f>
        <v>38.299999999999997</v>
      </c>
      <c r="R72" s="57"/>
      <c r="S72" s="57"/>
      <c r="T72" s="57"/>
      <c r="U72" s="57"/>
      <c r="V72" s="57"/>
      <c r="W72" s="57"/>
      <c r="X72" s="57"/>
      <c r="Y72" s="57"/>
    </row>
    <row r="73" spans="3:25" x14ac:dyDescent="0.25">
      <c r="C73" s="2" t="s">
        <v>432</v>
      </c>
      <c r="D73" s="2">
        <f>IF(G34&gt;(D34-D35-D36),MIN(D74,G34-(D34-D35-D36)+D74-D75),0)</f>
        <v>2</v>
      </c>
      <c r="G73" s="2">
        <f>IF(D34&gt;(G34-G35-G36),MIN(G74,D34-(G34-G35-G36)+G74-G75),0)</f>
        <v>2</v>
      </c>
      <c r="J73" s="2">
        <f>IF(M34&gt;(J34-J35-J36),MIN(J74,M34-(J34-J35-J36)+J74-J75),0)</f>
        <v>2</v>
      </c>
      <c r="M73" s="2">
        <f>IF(J34&gt;(M34-M35-M36),MIN(M74,J34-(M34-M35-M36)+M74-M75),0)</f>
        <v>2</v>
      </c>
      <c r="R73" s="57"/>
      <c r="S73" s="57"/>
      <c r="T73" s="57"/>
      <c r="U73" s="57"/>
      <c r="V73" s="57"/>
      <c r="W73" s="57"/>
      <c r="X73" s="57"/>
      <c r="Y73" s="57"/>
    </row>
    <row r="74" spans="3:25" x14ac:dyDescent="0.25">
      <c r="C74" s="2" t="s">
        <v>433</v>
      </c>
      <c r="D74" s="2">
        <v>2</v>
      </c>
      <c r="G74" s="2">
        <v>2</v>
      </c>
      <c r="J74" s="2">
        <v>2</v>
      </c>
      <c r="M74" s="2">
        <v>2</v>
      </c>
      <c r="R74" s="57"/>
      <c r="S74" s="57"/>
      <c r="T74" s="57"/>
      <c r="U74" s="57"/>
      <c r="V74" s="57"/>
      <c r="W74" s="57"/>
      <c r="X74" s="57"/>
      <c r="Y74" s="57"/>
    </row>
    <row r="75" spans="3:25" x14ac:dyDescent="0.25">
      <c r="C75" s="2" t="s">
        <v>434</v>
      </c>
      <c r="D75" s="2">
        <f>Phasing!O27</f>
        <v>2.2999999999999998</v>
      </c>
      <c r="G75" s="2">
        <f>Phasing!Q27</f>
        <v>2.2999999999999998</v>
      </c>
      <c r="J75" s="2">
        <f>Phasing!S27</f>
        <v>2</v>
      </c>
      <c r="M75" s="2">
        <f>Phasing!U27</f>
        <v>2</v>
      </c>
      <c r="R75" s="57"/>
      <c r="S75" s="57"/>
      <c r="T75" s="57"/>
      <c r="U75" s="57"/>
      <c r="V75" s="57"/>
      <c r="W75" s="57"/>
      <c r="X75" s="57"/>
      <c r="Y75" s="57"/>
    </row>
    <row r="76" spans="3:25" x14ac:dyDescent="0.25">
      <c r="C76" s="2" t="s">
        <v>435</v>
      </c>
      <c r="D76" s="2">
        <f>MIN(D71+D75,D77)</f>
        <v>2.2999999999999998</v>
      </c>
      <c r="G76" s="2">
        <f>MIN(G71+G75,G77)</f>
        <v>2.2999999999999998</v>
      </c>
      <c r="J76" s="2">
        <f>MIN(J71+J75,J77)</f>
        <v>2</v>
      </c>
      <c r="M76" s="2">
        <f>MIN(M71+M75,M77)</f>
        <v>2</v>
      </c>
      <c r="R76" s="57"/>
      <c r="S76" s="57"/>
      <c r="T76" s="57"/>
      <c r="U76" s="57"/>
      <c r="V76" s="57"/>
      <c r="W76" s="57"/>
      <c r="X76" s="57"/>
      <c r="Y76" s="57"/>
    </row>
    <row r="77" spans="3:25" x14ac:dyDescent="0.25">
      <c r="C77" s="2" t="s">
        <v>436</v>
      </c>
      <c r="D77" s="2">
        <f>MAX(0,D72-D73+D75)</f>
        <v>30.200000000000003</v>
      </c>
      <c r="G77" s="2">
        <f>MAX(0,G72-G73+G75)</f>
        <v>30.200000000000003</v>
      </c>
      <c r="J77" s="2">
        <f>MAX(0,J72-J73+J75)</f>
        <v>38.299999999999997</v>
      </c>
      <c r="M77" s="2">
        <f>MAX(0,M72-M73+M75)</f>
        <v>38.299999999999997</v>
      </c>
      <c r="R77" s="57"/>
      <c r="S77" s="57"/>
      <c r="T77" s="57"/>
      <c r="U77" s="57"/>
      <c r="V77" s="57"/>
      <c r="W77" s="57"/>
      <c r="X77" s="57"/>
      <c r="Y77" s="57"/>
    </row>
    <row r="78" spans="3:25" x14ac:dyDescent="0.25">
      <c r="R78" s="57"/>
      <c r="S78" s="57"/>
      <c r="T78" s="57"/>
      <c r="U78" s="57"/>
      <c r="V78" s="57"/>
      <c r="W78" s="57"/>
      <c r="X78" s="57"/>
      <c r="Y78" s="57"/>
    </row>
    <row r="79" spans="3:25" x14ac:dyDescent="0.25">
      <c r="R79" s="57"/>
      <c r="S79" s="57"/>
      <c r="T79" s="57"/>
      <c r="U79" s="57"/>
      <c r="V79" s="57"/>
      <c r="W79" s="57"/>
      <c r="X79" s="57"/>
      <c r="Y79" s="57"/>
    </row>
    <row r="80" spans="3:25" x14ac:dyDescent="0.25">
      <c r="R80" s="57"/>
      <c r="S80" s="57"/>
      <c r="T80" s="57"/>
      <c r="U80" s="57"/>
      <c r="V80" s="57"/>
      <c r="W80" s="57"/>
      <c r="X80" s="57"/>
      <c r="Y80" s="57"/>
    </row>
    <row r="81" spans="3:49" x14ac:dyDescent="0.25">
      <c r="C81" s="57"/>
      <c r="D81" s="57"/>
      <c r="R81" s="80"/>
      <c r="S81" s="80"/>
      <c r="T81" s="80"/>
      <c r="U81" s="80"/>
      <c r="V81" s="80"/>
      <c r="W81" s="57"/>
      <c r="X81" s="57"/>
    </row>
    <row r="82" spans="3:49" x14ac:dyDescent="0.25">
      <c r="C82" s="179"/>
      <c r="D82" s="284" t="str">
        <f>S28</f>
        <v/>
      </c>
      <c r="E82" s="284" t="str">
        <f>T28</f>
        <v>b</v>
      </c>
      <c r="F82" s="284"/>
      <c r="G82" s="284" t="str">
        <f>U28</f>
        <v/>
      </c>
      <c r="H82" s="175" t="s">
        <v>422</v>
      </c>
      <c r="I82" s="247" t="s">
        <v>437</v>
      </c>
      <c r="J82" s="247" t="s">
        <v>438</v>
      </c>
      <c r="R82" s="15"/>
      <c r="S82" s="190"/>
      <c r="T82" s="190"/>
      <c r="U82" s="100">
        <f>IF($D$25=0,"CHECK INPUT DATA",ROUND(P17/(1700*P4*'Input sheet'!W7*(1-D23/D25)),2))</f>
        <v>0.39</v>
      </c>
      <c r="V82" s="190"/>
      <c r="W82" s="57"/>
      <c r="X82" s="57"/>
    </row>
    <row r="83" spans="3:49" x14ac:dyDescent="0.25">
      <c r="C83" s="285" t="s">
        <v>199</v>
      </c>
      <c r="D83" s="285">
        <f t="shared" ref="D83:G84" si="22">IF($D$25=0,0,IF($AF$61=0,S60,AJ44))</f>
        <v>0</v>
      </c>
      <c r="E83" s="285">
        <f t="shared" si="22"/>
        <v>44</v>
      </c>
      <c r="F83" s="285">
        <f t="shared" si="22"/>
        <v>0</v>
      </c>
      <c r="G83" s="285">
        <f t="shared" si="22"/>
        <v>36</v>
      </c>
      <c r="H83" s="286">
        <f>SUM(D83:G83)</f>
        <v>80</v>
      </c>
      <c r="I83" s="300">
        <f>D83+E83</f>
        <v>44</v>
      </c>
      <c r="J83" s="300">
        <f>F83+G83</f>
        <v>36</v>
      </c>
      <c r="R83" s="239"/>
      <c r="S83" s="190"/>
      <c r="T83" s="190"/>
      <c r="U83" s="190"/>
      <c r="V83" s="190"/>
      <c r="W83" s="57"/>
      <c r="X83" s="57"/>
    </row>
    <row r="84" spans="3:49" x14ac:dyDescent="0.25">
      <c r="C84" s="285" t="s">
        <v>200</v>
      </c>
      <c r="D84" s="285">
        <f t="shared" si="22"/>
        <v>0</v>
      </c>
      <c r="E84" s="285">
        <f t="shared" si="22"/>
        <v>44</v>
      </c>
      <c r="F84" s="285">
        <f t="shared" si="22"/>
        <v>0</v>
      </c>
      <c r="G84" s="285">
        <f t="shared" si="22"/>
        <v>36</v>
      </c>
      <c r="H84" s="286">
        <f>SUM(D84:G84)</f>
        <v>80</v>
      </c>
      <c r="I84" s="300">
        <f>D84+E84</f>
        <v>44</v>
      </c>
      <c r="J84" s="300">
        <f>F84+G84</f>
        <v>36</v>
      </c>
      <c r="U84" s="222">
        <f>IF($D$25=0,"CHECK INPUT DATA",IF(OR(SUM(D9:I9)=0,SUM(J9:O9)=0),0,ROUND(SUMPRODUCT(D9:O9,D44:O44)/P9,2)))</f>
        <v>64.72</v>
      </c>
      <c r="V84" s="100" t="str">
        <f>IF($D$25=0,"CHECK INPUT DATA",IF(U84=0,"N/A",VLOOKUP(U84,'LOS table'!$B$3:$D$8,3)))</f>
        <v>E</v>
      </c>
    </row>
    <row r="85" spans="3:49" hidden="1" x14ac:dyDescent="0.25"/>
    <row r="86" spans="3:49" hidden="1" x14ac:dyDescent="0.25">
      <c r="D86" s="2">
        <f>IF(D83&lt;Z44,1,0)</f>
        <v>0</v>
      </c>
      <c r="E86" s="2">
        <f>IF(E83&lt;AA44,1,0)</f>
        <v>0</v>
      </c>
      <c r="G86" s="2">
        <f>IF(F83&lt;AB44,1,0)</f>
        <v>0</v>
      </c>
      <c r="H86" s="2">
        <f>IF(G83&lt;AC44,1,0)</f>
        <v>0</v>
      </c>
    </row>
    <row r="87" spans="3:49" hidden="1" x14ac:dyDescent="0.25">
      <c r="D87" s="2">
        <f>IF(D84&lt;Z45,1,0)</f>
        <v>0</v>
      </c>
      <c r="E87" s="2">
        <f>IF(E84&lt;AA45,1,0)</f>
        <v>0</v>
      </c>
      <c r="G87" s="2">
        <f>IF(F84&lt;AB45,1,0)</f>
        <v>0</v>
      </c>
      <c r="H87" s="2">
        <f>IF(G84&lt;AC45,1,0)</f>
        <v>0</v>
      </c>
    </row>
    <row r="88" spans="3:49" hidden="1" x14ac:dyDescent="0.25"/>
    <row r="89" spans="3:49" hidden="1" x14ac:dyDescent="0.25">
      <c r="C89" s="186" t="s">
        <v>113</v>
      </c>
      <c r="D89" s="287" t="s">
        <v>13</v>
      </c>
      <c r="E89" s="287" t="s">
        <v>14</v>
      </c>
      <c r="F89" s="287" t="s">
        <v>15</v>
      </c>
      <c r="G89" s="287" t="s">
        <v>18</v>
      </c>
      <c r="H89" s="287" t="s">
        <v>19</v>
      </c>
      <c r="I89" s="287" t="s">
        <v>20</v>
      </c>
      <c r="J89" s="287" t="s">
        <v>3</v>
      </c>
      <c r="K89" s="287" t="s">
        <v>4</v>
      </c>
      <c r="L89" s="287" t="s">
        <v>5</v>
      </c>
      <c r="M89" s="287" t="s">
        <v>8</v>
      </c>
      <c r="N89" s="287" t="s">
        <v>9</v>
      </c>
      <c r="O89" s="287" t="s">
        <v>10</v>
      </c>
    </row>
    <row r="90" spans="3:49" s="17" customFormat="1" hidden="1" x14ac:dyDescent="0.25">
      <c r="C90" s="288" t="s">
        <v>390</v>
      </c>
      <c r="D90" s="288">
        <f>D38</f>
        <v>32</v>
      </c>
      <c r="E90" s="288">
        <f t="shared" ref="E90:O90" si="23">E38</f>
        <v>32</v>
      </c>
      <c r="F90" s="288">
        <f t="shared" si="23"/>
        <v>32</v>
      </c>
      <c r="G90" s="288">
        <f t="shared" si="23"/>
        <v>32</v>
      </c>
      <c r="H90" s="288">
        <f t="shared" si="23"/>
        <v>32</v>
      </c>
      <c r="I90" s="288">
        <f t="shared" si="23"/>
        <v>32</v>
      </c>
      <c r="J90" s="288">
        <f t="shared" si="23"/>
        <v>40</v>
      </c>
      <c r="K90" s="288">
        <f t="shared" si="23"/>
        <v>40</v>
      </c>
      <c r="L90" s="288">
        <f t="shared" si="23"/>
        <v>40</v>
      </c>
      <c r="M90" s="288">
        <f t="shared" si="23"/>
        <v>40</v>
      </c>
      <c r="N90" s="288">
        <f t="shared" si="23"/>
        <v>40</v>
      </c>
      <c r="O90" s="288">
        <f t="shared" si="23"/>
        <v>40</v>
      </c>
      <c r="Q90" s="308"/>
      <c r="AF90" s="269"/>
      <c r="AG90" s="269"/>
      <c r="AH90" s="269"/>
      <c r="AI90" s="269"/>
      <c r="AJ90" s="269"/>
      <c r="AK90" s="269"/>
      <c r="AL90" s="308"/>
      <c r="AM90" s="308"/>
      <c r="AN90" s="308"/>
      <c r="AO90" s="308"/>
      <c r="AP90" s="308"/>
      <c r="AQ90" s="308"/>
      <c r="AR90" s="308"/>
      <c r="AS90" s="308"/>
      <c r="AT90" s="308"/>
      <c r="AU90" s="308"/>
      <c r="AV90" s="308"/>
      <c r="AW90" s="308"/>
    </row>
    <row r="91" spans="3:49" hidden="1" x14ac:dyDescent="0.25">
      <c r="C91" s="2" t="s">
        <v>439</v>
      </c>
      <c r="D91" s="2">
        <f>D3*$D$25/3600</f>
        <v>4.4444444444444446</v>
      </c>
      <c r="G91" s="2">
        <f>G3*$D$25/3600</f>
        <v>4.4666666666666668</v>
      </c>
      <c r="J91" s="2">
        <f>J3*$D$25/3600</f>
        <v>1.6666666666666667</v>
      </c>
      <c r="M91" s="2">
        <f>M3*$D$25/3600</f>
        <v>2.2222222222222223</v>
      </c>
    </row>
    <row r="92" spans="3:49" hidden="1" x14ac:dyDescent="0.25">
      <c r="C92" s="2" t="s">
        <v>440</v>
      </c>
      <c r="D92" s="2">
        <f>MAX(D90*EXP(-0.86*(D91^0.629)-D73),0)</f>
        <v>0.48094578393254028</v>
      </c>
      <c r="G92" s="2">
        <f>MAX(G90*EXP(-0.86*(G91^0.629)-G73),0)</f>
        <v>0.47763606054843971</v>
      </c>
      <c r="J92" s="2">
        <f>MAX(J90*EXP(-0.86*(J91^0.629)-J73),0)</f>
        <v>1.6536713843867843</v>
      </c>
      <c r="M92" s="2">
        <f>MAX(M90*EXP(-0.86*(M91^0.629)-M73),0)</f>
        <v>1.3070454094317765</v>
      </c>
    </row>
    <row r="93" spans="3:49" hidden="1" x14ac:dyDescent="0.25">
      <c r="C93" s="2" t="s">
        <v>441</v>
      </c>
      <c r="D93" s="2">
        <f>MAX(D90*EXP(-0.882*(D91^0.717)-D73),0)</f>
        <v>0.33141431422001</v>
      </c>
      <c r="G93" s="2">
        <f>MAX(G90*EXP(-0.882*(G91^0.717)-G73),0)</f>
        <v>0.32837686097325675</v>
      </c>
      <c r="J93" s="2">
        <f>MAX(J90*EXP(-0.882*(J91^0.717)-J73),0)</f>
        <v>1.5170106320842882</v>
      </c>
      <c r="M93" s="2">
        <f>MAX(M90*EXP(-0.882*(M91^0.717)-M73),0)</f>
        <v>1.1335078013181183</v>
      </c>
    </row>
    <row r="94" spans="3:49" hidden="1" x14ac:dyDescent="0.25">
      <c r="C94" s="2" t="s">
        <v>442</v>
      </c>
      <c r="D94" s="2">
        <f>IF(SUM(D6:F6)=1,D92,D93)</f>
        <v>0.33141431422001</v>
      </c>
      <c r="G94" s="2">
        <f>IF(SUM(G6:I6)=1,G92,G93)</f>
        <v>0.32837686097325675</v>
      </c>
      <c r="J94" s="2">
        <f>IF(SUM(J6:L6)=1,J92,J93)</f>
        <v>1.5170106320842882</v>
      </c>
      <c r="M94" s="2">
        <f>IF(SUM(M6:O6)=1,M92,M93)</f>
        <v>1.1335078013181183</v>
      </c>
    </row>
    <row r="95" spans="3:49" hidden="1" x14ac:dyDescent="0.25"/>
    <row r="96" spans="3:49" hidden="1" x14ac:dyDescent="0.25">
      <c r="C96" s="164" t="s">
        <v>443</v>
      </c>
      <c r="D96" s="164">
        <f>MAX(0,ROUND(D6*(D63+D35-1)*D11/$D$25,0))</f>
        <v>0</v>
      </c>
      <c r="E96" s="164"/>
      <c r="F96" s="164"/>
      <c r="G96" s="164">
        <f>MAX(0,ROUND(G6*(G63+G35-1)*G11/$D$25,0))</f>
        <v>0</v>
      </c>
      <c r="H96" s="164"/>
      <c r="I96" s="164"/>
      <c r="J96" s="164">
        <f>MAX(0,ROUND(J6*(J63+J35-1)*J11/$D$25,0))</f>
        <v>0</v>
      </c>
      <c r="K96" s="164"/>
      <c r="L96" s="164"/>
      <c r="M96" s="164">
        <f>MAX(0,ROUND(M6*(M63+M35-1)*M11/$D$25,0))</f>
        <v>0</v>
      </c>
    </row>
    <row r="97" spans="1:14" hidden="1" x14ac:dyDescent="0.25">
      <c r="C97" s="164" t="s">
        <v>444</v>
      </c>
      <c r="D97" s="164">
        <f>ROUND(((MIN(D77-D94,D76)*D14+7200)/$D$25)*D6,0)</f>
        <v>112</v>
      </c>
      <c r="E97" s="164"/>
      <c r="F97" s="164"/>
      <c r="G97" s="164">
        <f>ROUND(((MIN(G77-G94,G76)*G14+7200)/$D$25)*G6,0)</f>
        <v>112</v>
      </c>
      <c r="H97" s="164"/>
      <c r="I97" s="164"/>
      <c r="J97" s="164">
        <f>ROUND(((MIN(J77-J94,J76)*J14+7200)/$D$25)*J6,0)</f>
        <v>104</v>
      </c>
      <c r="K97" s="164"/>
      <c r="L97" s="164"/>
      <c r="M97" s="164">
        <f>ROUND(((MIN(M77-M94,M76)*M14+7200)/$D$25)*M6,0)</f>
        <v>107</v>
      </c>
    </row>
    <row r="98" spans="1:14" hidden="1" x14ac:dyDescent="0.25">
      <c r="C98" s="2" t="s">
        <v>445</v>
      </c>
      <c r="D98" s="2">
        <f>IF(D14=0,0,$T$2/D14)</f>
        <v>2.513227513227513</v>
      </c>
      <c r="G98" s="2">
        <f>IF(G14=0,0,$T$2/G14)</f>
        <v>2.4675324675324677</v>
      </c>
      <c r="J98" s="2">
        <f>IF(J14=0,0,$T$2/J14)</f>
        <v>3.4234234234234235</v>
      </c>
      <c r="M98" s="2">
        <f>IF(M14=0,0,$T$2/M14)</f>
        <v>2.7338129496402876</v>
      </c>
    </row>
    <row r="99" spans="1:14" hidden="1" x14ac:dyDescent="0.25">
      <c r="C99" s="2" t="s">
        <v>446</v>
      </c>
      <c r="D99" s="2">
        <f>MAX(0,0.5*(D77-D76-D94))</f>
        <v>13.784292842889997</v>
      </c>
      <c r="G99" s="2">
        <f>MAX(0,0.5*(G77-G76-G94))</f>
        <v>13.785811569513372</v>
      </c>
      <c r="J99" s="2">
        <f>MAX(0,0.5*(J77-J76-J94))</f>
        <v>17.391494683957855</v>
      </c>
      <c r="M99" s="2">
        <f>MAX(0,0.5*(M77-M76-M94))</f>
        <v>17.58324609934094</v>
      </c>
    </row>
    <row r="100" spans="1:14" hidden="1" x14ac:dyDescent="0.25">
      <c r="C100" s="2" t="s">
        <v>447</v>
      </c>
      <c r="D100" s="2">
        <f>IF(SUM(G3:I3)=0,0,G3/SUM(G3:I3))</f>
        <v>0.24482338611449453</v>
      </c>
      <c r="G100" s="2">
        <f>IF(SUM(D3:F3)=0,0,D3/SUM(D3:F3))</f>
        <v>0.25</v>
      </c>
      <c r="J100" s="2">
        <f>IF(SUM(M3:O3)=0,0,M3/SUM(M3:O3))</f>
        <v>9.5238095238095233E-2</v>
      </c>
      <c r="M100" s="2">
        <f>IF(SUM(J3:L3)=0,0,J3/SUM(J3:L3))</f>
        <v>9.5541401273885357E-2</v>
      </c>
    </row>
    <row r="101" spans="1:14" hidden="1" x14ac:dyDescent="0.25">
      <c r="C101" s="2" t="s">
        <v>448</v>
      </c>
      <c r="D101" s="2">
        <f>IF(D100=0,0,MAX(1,(1-(1-D100)^D99)/D100))</f>
        <v>3.9994373670184764</v>
      </c>
      <c r="G101" s="2">
        <f>IF(G100=0,0,MAX(1,(1-(1-G100)^G99)/G100))</f>
        <v>3.9241984457273231</v>
      </c>
      <c r="J101" s="2">
        <f>IF(J100=0,0,MAX(1,(1-(1-J100)^J99)/J100))</f>
        <v>8.658142967020293</v>
      </c>
      <c r="M101" s="2">
        <f>IF(M100=0,0,MAX(1,(1-(1-M100)^M99)/M100))</f>
        <v>8.676143140835789</v>
      </c>
    </row>
    <row r="102" spans="1:14" hidden="1" x14ac:dyDescent="0.25">
      <c r="C102" s="2" t="s">
        <v>449</v>
      </c>
      <c r="D102" s="2">
        <f>IF(SUM(D3:F3)=0,0,D3/SUM(D3:F3))</f>
        <v>0.25</v>
      </c>
      <c r="G102" s="2">
        <f>IF(SUM(G3:I3)=0,0,G3/SUM(G3:I3))</f>
        <v>0.24482338611449453</v>
      </c>
      <c r="J102" s="2">
        <f>IF(SUM(J3:L3)=0,0,J3/SUM(J3:L3))</f>
        <v>9.5541401273885357E-2</v>
      </c>
      <c r="M102" s="2">
        <f>IF(SUM(M3:O3)=0,0,M3/SUM(M3:O3))</f>
        <v>9.5238095238095233E-2</v>
      </c>
    </row>
    <row r="103" spans="1:14" hidden="1" x14ac:dyDescent="0.25">
      <c r="C103" s="164" t="s">
        <v>450</v>
      </c>
      <c r="D103" s="164">
        <f>ROUND((D77*D14+3600*(1+D102))/$D$25,0)</f>
        <v>342</v>
      </c>
      <c r="E103" s="164"/>
      <c r="F103" s="164"/>
      <c r="G103" s="164">
        <f>ROUND((G77*G14+3600*(1+G102))/$D$25,0)</f>
        <v>347</v>
      </c>
      <c r="H103" s="164"/>
      <c r="I103" s="164"/>
      <c r="J103" s="164">
        <f>ROUND((J77*J14+3600*(1+J102))/$D$25,0)</f>
        <v>315</v>
      </c>
      <c r="K103" s="164"/>
      <c r="L103" s="164"/>
      <c r="M103" s="164">
        <f>ROUND((M77*M14+3600*(1+M102))/$D$25,0)</f>
        <v>382</v>
      </c>
    </row>
    <row r="104" spans="1:14" hidden="1" x14ac:dyDescent="0.25">
      <c r="C104" s="164" t="s">
        <v>451</v>
      </c>
      <c r="D104" s="164">
        <f>MAX(0,ROUND(((D63+D35-1)*D11/$D$25+(MIN(D77-D94,D76)*D14+7200)/$D$25)*D6,0))</f>
        <v>112</v>
      </c>
      <c r="E104" s="164"/>
      <c r="F104" s="164"/>
      <c r="G104" s="164">
        <f>MAX(0,ROUND(((G63+G35-1)*G11/$D$25+(MIN(G77-G94,G76)*G14+7200)/$D$25)*G6,0))</f>
        <v>112</v>
      </c>
      <c r="H104" s="164"/>
      <c r="I104" s="164"/>
      <c r="J104" s="164">
        <f>MAX(0,ROUND(((J63+J35-1)*J11/$D$25+(MIN(J77-J94,J76)*J14+7200)/$D$25)*J6,0))</f>
        <v>104</v>
      </c>
      <c r="K104" s="164"/>
      <c r="L104" s="164"/>
      <c r="M104" s="164">
        <f>MAX(0,ROUND(((M63+M35-1)*M11/$D$25+(MIN(M77-M94,M76)*M14+7200)/$D$25)*M6,0))</f>
        <v>107</v>
      </c>
    </row>
    <row r="105" spans="1:14" hidden="1" x14ac:dyDescent="0.25"/>
    <row r="106" spans="1:14" hidden="1" x14ac:dyDescent="0.25">
      <c r="A106" s="451" t="s">
        <v>452</v>
      </c>
      <c r="B106" s="289"/>
      <c r="C106" s="253" t="s">
        <v>113</v>
      </c>
      <c r="D106" s="253"/>
      <c r="E106" s="253" t="s">
        <v>14</v>
      </c>
      <c r="F106" s="253"/>
      <c r="G106" s="253"/>
      <c r="H106" s="253" t="s">
        <v>19</v>
      </c>
      <c r="I106" s="253"/>
      <c r="J106" s="253"/>
      <c r="K106" s="253" t="s">
        <v>4</v>
      </c>
      <c r="L106" s="253"/>
      <c r="M106" s="253"/>
      <c r="N106" s="301" t="s">
        <v>9</v>
      </c>
    </row>
    <row r="107" spans="1:14" hidden="1" x14ac:dyDescent="0.25">
      <c r="A107" s="452"/>
      <c r="B107" s="290"/>
      <c r="C107" s="179" t="s">
        <v>453</v>
      </c>
      <c r="D107" s="179"/>
      <c r="E107" s="179">
        <f>E37-Phasing!P19</f>
        <v>5.9000000000000021</v>
      </c>
      <c r="F107" s="179"/>
      <c r="G107" s="179"/>
      <c r="H107" s="179">
        <f>H37-Phasing!R19</f>
        <v>5.9000000000000021</v>
      </c>
      <c r="I107" s="179"/>
      <c r="J107" s="179"/>
      <c r="K107" s="179">
        <f>K37-Phasing!T19</f>
        <v>7.2999999999999972</v>
      </c>
      <c r="L107" s="179"/>
      <c r="M107" s="179"/>
      <c r="N107" s="302">
        <f>N37-Phasing!V19</f>
        <v>7.2999999999999972</v>
      </c>
    </row>
    <row r="108" spans="1:14" hidden="1" x14ac:dyDescent="0.25">
      <c r="A108" s="452"/>
      <c r="B108" s="290"/>
      <c r="C108" s="179" t="s">
        <v>454</v>
      </c>
      <c r="D108" s="179"/>
      <c r="E108" s="179">
        <f>E107+4</f>
        <v>9.9000000000000021</v>
      </c>
      <c r="F108" s="179"/>
      <c r="G108" s="179"/>
      <c r="H108" s="179">
        <f>H107+4</f>
        <v>9.9000000000000021</v>
      </c>
      <c r="I108" s="179"/>
      <c r="J108" s="179"/>
      <c r="K108" s="179">
        <f>K107+4</f>
        <v>11.299999999999997</v>
      </c>
      <c r="L108" s="179"/>
      <c r="M108" s="179"/>
      <c r="N108" s="302">
        <f>N107+4</f>
        <v>11.299999999999997</v>
      </c>
    </row>
    <row r="109" spans="1:14" hidden="1" x14ac:dyDescent="0.25">
      <c r="A109" s="452"/>
      <c r="B109" s="290"/>
      <c r="C109" s="179" t="s">
        <v>455</v>
      </c>
      <c r="D109" s="291"/>
      <c r="E109" s="291">
        <f>(($D$25-E108)^2)/(2*$D$25)</f>
        <v>30.712562499999997</v>
      </c>
      <c r="F109" s="291"/>
      <c r="G109" s="291"/>
      <c r="H109" s="291">
        <f>(($D$25-H108)^2)/(2*$D$25)</f>
        <v>30.712562499999997</v>
      </c>
      <c r="I109" s="291"/>
      <c r="J109" s="291"/>
      <c r="K109" s="291">
        <f>(($D$25-K108)^2)/(2*$D$25)</f>
        <v>29.498062500000003</v>
      </c>
      <c r="L109" s="291"/>
      <c r="M109" s="291"/>
      <c r="N109" s="303">
        <f>(($D$25-N108)^2)/(2*$D$25)</f>
        <v>29.498062500000003</v>
      </c>
    </row>
    <row r="110" spans="1:14" hidden="1" x14ac:dyDescent="0.25">
      <c r="A110" s="452"/>
      <c r="B110" s="290"/>
      <c r="C110" s="179" t="s">
        <v>456</v>
      </c>
      <c r="D110" s="179"/>
      <c r="E110" s="179">
        <f>'Input sheet'!E17</f>
        <v>88</v>
      </c>
      <c r="F110" s="179"/>
      <c r="G110" s="179"/>
      <c r="H110" s="179">
        <f>'Input sheet'!Q17</f>
        <v>30</v>
      </c>
      <c r="I110" s="179"/>
      <c r="J110" s="179"/>
      <c r="K110" s="179">
        <f>'Input sheet'!O21</f>
        <v>59</v>
      </c>
      <c r="L110" s="179"/>
      <c r="M110" s="179"/>
      <c r="N110" s="302">
        <f>'Input sheet'!M6</f>
        <v>49</v>
      </c>
    </row>
    <row r="111" spans="1:14" hidden="1" x14ac:dyDescent="0.25">
      <c r="A111" s="452"/>
      <c r="B111" s="290"/>
      <c r="C111" s="179" t="s">
        <v>457</v>
      </c>
      <c r="D111" s="179"/>
      <c r="E111" s="292">
        <f>E109*E110/3600</f>
        <v>0.75075152777777765</v>
      </c>
      <c r="F111" s="292"/>
      <c r="G111" s="292"/>
      <c r="H111" s="292">
        <f>H109*H110/3600</f>
        <v>0.25593802083333334</v>
      </c>
      <c r="I111" s="292"/>
      <c r="J111" s="292"/>
      <c r="K111" s="292">
        <f>K109*K110/3600</f>
        <v>0.48344046875000002</v>
      </c>
      <c r="L111" s="292"/>
      <c r="M111" s="292"/>
      <c r="N111" s="304">
        <f>N109*N110/3600</f>
        <v>0.40150140625000008</v>
      </c>
    </row>
    <row r="112" spans="1:14" hidden="1" x14ac:dyDescent="0.25">
      <c r="A112" s="452"/>
      <c r="B112" s="290"/>
      <c r="C112" s="179" t="s">
        <v>458</v>
      </c>
      <c r="D112" s="179"/>
      <c r="E112" s="292">
        <f>E111+H111+K111+N111</f>
        <v>1.8916314236111109</v>
      </c>
      <c r="F112" s="292"/>
      <c r="G112" s="292"/>
      <c r="H112" s="292"/>
      <c r="I112" s="292"/>
      <c r="J112" s="292"/>
      <c r="K112" s="292"/>
      <c r="L112" s="292"/>
      <c r="M112" s="292"/>
      <c r="N112" s="304"/>
    </row>
    <row r="113" spans="1:59" hidden="1" x14ac:dyDescent="0.25">
      <c r="A113" s="452"/>
      <c r="B113" s="290"/>
      <c r="C113" s="179" t="s">
        <v>459</v>
      </c>
      <c r="D113" s="179"/>
      <c r="E113" s="293">
        <f>Phasing!P3</f>
        <v>108</v>
      </c>
      <c r="F113" s="293"/>
      <c r="G113" s="293"/>
      <c r="H113" s="293">
        <f>Phasing!R3</f>
        <v>108</v>
      </c>
      <c r="I113" s="293"/>
      <c r="J113" s="293"/>
      <c r="K113" s="293">
        <f>Phasing!T3</f>
        <v>84</v>
      </c>
      <c r="L113" s="293"/>
      <c r="M113" s="293"/>
      <c r="N113" s="305">
        <f>Phasing!V3</f>
        <v>84</v>
      </c>
    </row>
    <row r="114" spans="1:59" hidden="1" x14ac:dyDescent="0.25">
      <c r="A114" s="453"/>
      <c r="B114" s="294"/>
      <c r="C114" s="165" t="s">
        <v>460</v>
      </c>
      <c r="D114" s="165"/>
      <c r="E114" s="295">
        <f>MAX(E113:N113)</f>
        <v>108</v>
      </c>
      <c r="F114" s="295"/>
      <c r="G114" s="295"/>
      <c r="H114" s="295"/>
      <c r="I114" s="295"/>
      <c r="J114" s="295"/>
      <c r="K114" s="295"/>
      <c r="L114" s="295"/>
      <c r="M114" s="295"/>
      <c r="N114" s="306"/>
    </row>
    <row r="115" spans="1:59" hidden="1" x14ac:dyDescent="0.25"/>
    <row r="116" spans="1:59" hidden="1" x14ac:dyDescent="0.25">
      <c r="A116" s="451" t="s">
        <v>461</v>
      </c>
      <c r="B116" s="289"/>
      <c r="C116" s="253" t="s">
        <v>113</v>
      </c>
      <c r="D116" s="253"/>
      <c r="E116" s="253" t="s">
        <v>14</v>
      </c>
      <c r="F116" s="253"/>
      <c r="G116" s="253"/>
      <c r="H116" s="253" t="s">
        <v>19</v>
      </c>
      <c r="I116" s="253"/>
      <c r="J116" s="253"/>
      <c r="K116" s="253" t="s">
        <v>4</v>
      </c>
      <c r="L116" s="253"/>
      <c r="M116" s="253"/>
      <c r="N116" s="301" t="s">
        <v>9</v>
      </c>
    </row>
    <row r="117" spans="1:59" hidden="1" x14ac:dyDescent="0.25">
      <c r="A117" s="452"/>
      <c r="B117" s="290"/>
      <c r="C117" s="179" t="s">
        <v>462</v>
      </c>
      <c r="D117" s="179"/>
      <c r="E117" s="293">
        <f>2000*E38/$D$25</f>
        <v>800</v>
      </c>
      <c r="F117" s="293"/>
      <c r="G117" s="293"/>
      <c r="H117" s="293">
        <f>2000*H38/$D$25</f>
        <v>800</v>
      </c>
      <c r="I117" s="293"/>
      <c r="J117" s="293"/>
      <c r="K117" s="293">
        <f>2000*K38/$D$25</f>
        <v>1000</v>
      </c>
      <c r="L117" s="293"/>
      <c r="M117" s="293"/>
      <c r="N117" s="305">
        <f>2000*N38/$D$25</f>
        <v>1000</v>
      </c>
    </row>
    <row r="118" spans="1:59" hidden="1" x14ac:dyDescent="0.25">
      <c r="A118" s="452"/>
      <c r="B118" s="290"/>
      <c r="C118" s="179" t="s">
        <v>463</v>
      </c>
      <c r="D118" s="179"/>
      <c r="E118" s="293">
        <f>'Input sheet'!E18</f>
        <v>10</v>
      </c>
      <c r="F118" s="293"/>
      <c r="G118" s="293"/>
      <c r="H118" s="293">
        <f>'Input sheet'!Q18</f>
        <v>4</v>
      </c>
      <c r="I118" s="293"/>
      <c r="J118" s="293"/>
      <c r="K118" s="293">
        <f>'Input sheet'!P21</f>
        <v>1</v>
      </c>
      <c r="L118" s="293"/>
      <c r="M118" s="293"/>
      <c r="N118" s="305">
        <f>'Input sheet'!N6</f>
        <v>4</v>
      </c>
    </row>
    <row r="119" spans="1:59" hidden="1" x14ac:dyDescent="0.25">
      <c r="A119" s="452"/>
      <c r="B119" s="290"/>
      <c r="C119" s="179" t="s">
        <v>464</v>
      </c>
      <c r="D119" s="179"/>
      <c r="E119" s="293">
        <f>E38</f>
        <v>32</v>
      </c>
      <c r="F119" s="293"/>
      <c r="G119" s="293"/>
      <c r="H119" s="293">
        <f>H38</f>
        <v>32</v>
      </c>
      <c r="I119" s="293"/>
      <c r="J119" s="293"/>
      <c r="K119" s="293">
        <f>K38</f>
        <v>40</v>
      </c>
      <c r="L119" s="293"/>
      <c r="M119" s="293"/>
      <c r="N119" s="305">
        <f>N38</f>
        <v>40</v>
      </c>
    </row>
    <row r="120" spans="1:59" hidden="1" x14ac:dyDescent="0.25">
      <c r="A120" s="452"/>
      <c r="B120" s="290"/>
      <c r="C120" s="179" t="s">
        <v>465</v>
      </c>
      <c r="D120" s="179"/>
      <c r="E120" s="291">
        <f>(0.5*$D$25*(1-E119/$D$25)^2)/(1-(E118/E117)*(E119/$D$25))</f>
        <v>14.472361809045225</v>
      </c>
      <c r="F120" s="291"/>
      <c r="G120" s="291"/>
      <c r="H120" s="291">
        <f>(0.5*$D$25*(1-H119/$D$25)^2)/(1-(H118/H117)*(H119/$D$25))</f>
        <v>14.42885771543086</v>
      </c>
      <c r="I120" s="291"/>
      <c r="J120" s="291"/>
      <c r="K120" s="291">
        <f>(0.5*$D$25*(1-K119/$D$25)^2)/(1-(K118/K117)*(K119/$D$25))</f>
        <v>10.005002501250624</v>
      </c>
      <c r="L120" s="291"/>
      <c r="M120" s="291"/>
      <c r="N120" s="303">
        <f>(0.5*$D$25*(1-N119/$D$25)^2)/(1-(N118/N117)*(N119/$D$25))</f>
        <v>10.020040080160321</v>
      </c>
    </row>
    <row r="121" spans="1:59" hidden="1" x14ac:dyDescent="0.25">
      <c r="A121" s="453"/>
      <c r="B121" s="294"/>
      <c r="C121" s="165" t="s">
        <v>466</v>
      </c>
      <c r="D121" s="165"/>
      <c r="E121" s="296">
        <f>(E118*E120+H118*H120+K118*K120+N118*N120)/3600</f>
        <v>7.0145614381685442E-2</v>
      </c>
      <c r="F121" s="165"/>
      <c r="G121" s="165"/>
      <c r="H121" s="165"/>
      <c r="I121" s="165"/>
      <c r="J121" s="165"/>
      <c r="K121" s="165"/>
      <c r="L121" s="165"/>
      <c r="M121" s="165"/>
      <c r="N121" s="307"/>
    </row>
    <row r="122" spans="1:59" hidden="1" x14ac:dyDescent="0.25"/>
    <row r="123" spans="1:59" hidden="1" x14ac:dyDescent="0.25">
      <c r="A123" s="451" t="s">
        <v>467</v>
      </c>
      <c r="B123" s="289"/>
      <c r="C123" s="253" t="s">
        <v>468</v>
      </c>
      <c r="D123" s="297" t="s">
        <v>13</v>
      </c>
      <c r="E123" s="297" t="s">
        <v>14</v>
      </c>
      <c r="F123" s="254" t="s">
        <v>15</v>
      </c>
      <c r="G123" s="297" t="s">
        <v>18</v>
      </c>
      <c r="H123" s="297" t="s">
        <v>19</v>
      </c>
      <c r="I123" s="254" t="s">
        <v>20</v>
      </c>
      <c r="J123" s="297" t="s">
        <v>3</v>
      </c>
      <c r="K123" s="297" t="s">
        <v>4</v>
      </c>
      <c r="L123" s="254" t="s">
        <v>5</v>
      </c>
      <c r="M123" s="297" t="s">
        <v>8</v>
      </c>
      <c r="N123" s="297" t="s">
        <v>9</v>
      </c>
      <c r="O123" s="254" t="s">
        <v>10</v>
      </c>
      <c r="P123" s="253"/>
      <c r="Q123" s="254"/>
      <c r="R123" s="253"/>
      <c r="S123" s="253"/>
      <c r="T123" s="253"/>
      <c r="U123" s="253"/>
      <c r="V123" s="253"/>
      <c r="W123" s="253"/>
      <c r="X123" s="253"/>
      <c r="Y123" s="253"/>
      <c r="Z123" s="253"/>
      <c r="AA123" s="253"/>
      <c r="AB123" s="253"/>
      <c r="AC123" s="253"/>
      <c r="AD123" s="253"/>
      <c r="AE123" s="253"/>
      <c r="AF123" s="254"/>
      <c r="AG123" s="254"/>
      <c r="AH123" s="254"/>
      <c r="AI123" s="254"/>
      <c r="AJ123" s="254"/>
      <c r="AK123" s="254"/>
      <c r="AL123" s="254"/>
      <c r="AM123" s="254"/>
      <c r="AN123" s="254"/>
      <c r="AO123" s="254"/>
      <c r="AP123" s="254"/>
      <c r="AQ123" s="254"/>
      <c r="AR123" s="254"/>
      <c r="AS123" s="254"/>
      <c r="AT123" s="254"/>
      <c r="AU123" s="254"/>
      <c r="AV123" s="254"/>
      <c r="AW123" s="254"/>
      <c r="AX123" s="253"/>
      <c r="AY123" s="253"/>
      <c r="AZ123" s="253"/>
      <c r="BA123" s="253"/>
      <c r="BB123" s="253"/>
      <c r="BC123" s="253"/>
      <c r="BD123" s="253"/>
      <c r="BE123" s="253"/>
      <c r="BF123" s="253"/>
      <c r="BG123" s="301" t="s">
        <v>469</v>
      </c>
    </row>
    <row r="124" spans="1:59" hidden="1" x14ac:dyDescent="0.25">
      <c r="A124" s="452"/>
      <c r="B124" s="290"/>
      <c r="C124" s="179" t="s">
        <v>123</v>
      </c>
      <c r="D124" s="292">
        <f>(((100-'Input sheet'!$B$4)/100)*'Phase calculation'!D3*'Phase calculation'!D44*'Input sheet'!$B$2)/3600</f>
        <v>263.73333333333335</v>
      </c>
      <c r="E124" s="292">
        <f>(((100-'Input sheet'!$B$4)/100)*'Phase calculation'!E3*'Phase calculation'!E44*'Input sheet'!$B$2)/3600</f>
        <v>26.354166666666668</v>
      </c>
      <c r="F124" s="292">
        <f>(((100-'Input sheet'!$B$4)/100)*'Phase calculation'!F3*'Phase calculation'!F44*'Input sheet'!$B$2)/3600</f>
        <v>5.050416666666667</v>
      </c>
      <c r="G124" s="292">
        <f>(((100-'Input sheet'!$B$4)/100)*'Phase calculation'!G3*'Phase calculation'!G44*'Input sheet'!$B$2)/3600</f>
        <v>265.05200000000002</v>
      </c>
      <c r="H124" s="292">
        <f>(((100-'Input sheet'!$B$4)/100)*'Phase calculation'!H3*'Phase calculation'!H44*'Input sheet'!$B$2)/3600</f>
        <v>26.354166666666668</v>
      </c>
      <c r="I124" s="292">
        <f>(((100-'Input sheet'!$B$4)/100)*'Phase calculation'!I3*'Phase calculation'!I44*'Input sheet'!$B$2)/3600</f>
        <v>6.179333333333334</v>
      </c>
      <c r="J124" s="292">
        <f>(((100-'Input sheet'!$B$4)/100)*'Phase calculation'!J3*'Phase calculation'!J44*'Input sheet'!$B$2)/3600</f>
        <v>12.096562499999999</v>
      </c>
      <c r="K124" s="292">
        <f>(((100-'Input sheet'!$B$4)/100)*'Phase calculation'!K3*'Phase calculation'!K44*'Input sheet'!$B$2)/3600</f>
        <v>28.05201388888889</v>
      </c>
      <c r="L124" s="292">
        <f>(((100-'Input sheet'!$B$4)/100)*'Phase calculation'!L3*'Phase calculation'!L44*'Input sheet'!$B$2)/3600</f>
        <v>2.0220833333333332</v>
      </c>
      <c r="M124" s="292">
        <f>(((100-'Input sheet'!$B$4)/100)*'Phase calculation'!M3*'Phase calculation'!M44*'Input sheet'!$B$2)/3600</f>
        <v>28.210138888888888</v>
      </c>
      <c r="N124" s="292">
        <f>(((100-'Input sheet'!$B$4)/100)*'Phase calculation'!N3*'Phase calculation'!N44*'Input sheet'!$B$2)/3600</f>
        <v>41.760972222222222</v>
      </c>
      <c r="O124" s="292">
        <f>(((100-'Input sheet'!$B$4)/100)*'Phase calculation'!O3*'Phase calculation'!O44*'Input sheet'!$B$2)/3600</f>
        <v>3.4947222222222227</v>
      </c>
      <c r="P124" s="179"/>
      <c r="Q124" s="185"/>
      <c r="R124" s="179"/>
      <c r="S124" s="179"/>
      <c r="T124" s="179"/>
      <c r="U124" s="179"/>
      <c r="V124" s="179"/>
      <c r="W124" s="179"/>
      <c r="X124" s="179"/>
      <c r="Y124" s="179"/>
      <c r="Z124" s="179"/>
      <c r="AA124" s="179"/>
      <c r="AB124" s="179"/>
      <c r="AC124" s="179"/>
      <c r="AD124" s="179"/>
      <c r="AE124" s="179"/>
      <c r="AL124" s="185"/>
      <c r="AM124" s="185"/>
      <c r="AN124" s="185"/>
      <c r="AO124" s="185"/>
      <c r="AP124" s="185"/>
      <c r="AQ124" s="185"/>
      <c r="AR124" s="185"/>
      <c r="AS124" s="185"/>
      <c r="AT124" s="185"/>
      <c r="AU124" s="185"/>
      <c r="AV124" s="185"/>
      <c r="AW124" s="185"/>
      <c r="AX124" s="179"/>
      <c r="AY124" s="179"/>
      <c r="AZ124" s="179"/>
      <c r="BA124" s="179"/>
      <c r="BB124" s="179"/>
      <c r="BC124" s="179"/>
      <c r="BD124" s="179"/>
      <c r="BE124" s="179"/>
      <c r="BF124" s="179"/>
      <c r="BG124" s="304">
        <f>SUM(D124:O124)</f>
        <v>708.35990972222214</v>
      </c>
    </row>
    <row r="125" spans="1:59" hidden="1" x14ac:dyDescent="0.25">
      <c r="A125" s="452"/>
      <c r="B125" s="290"/>
      <c r="C125" s="179" t="s">
        <v>128</v>
      </c>
      <c r="D125" s="292">
        <f>(('Input sheet'!$B$4/100)*'Phase calculation'!D3*'Phase calculation'!D44*'Input sheet'!$B$3)/3600</f>
        <v>57.792000000000002</v>
      </c>
      <c r="E125" s="292">
        <f>(('Input sheet'!$B$4/100)*'Phase calculation'!E3*'Phase calculation'!E44*'Input sheet'!$B$3)/3600</f>
        <v>5.7750000000000004</v>
      </c>
      <c r="F125" s="292">
        <f>(('Input sheet'!$B$4/100)*'Phase calculation'!F3*'Phase calculation'!F44*'Input sheet'!$B$3)/3600</f>
        <v>1.1067</v>
      </c>
      <c r="G125" s="292">
        <f>(('Input sheet'!$B$4/100)*'Phase calculation'!G3*'Phase calculation'!G44*'Input sheet'!$B$3)/3600</f>
        <v>58.080960000000005</v>
      </c>
      <c r="H125" s="292">
        <f>(('Input sheet'!$B$4/100)*'Phase calculation'!H3*'Phase calculation'!H44*'Input sheet'!$B$3)/3600</f>
        <v>5.7750000000000004</v>
      </c>
      <c r="I125" s="292">
        <f>(('Input sheet'!$B$4/100)*'Phase calculation'!I3*'Phase calculation'!I44*'Input sheet'!$B$3)/3600</f>
        <v>1.35408</v>
      </c>
      <c r="J125" s="292">
        <f>(('Input sheet'!$B$4/100)*'Phase calculation'!J3*'Phase calculation'!J44*'Input sheet'!$B$3)/3600</f>
        <v>2.650725</v>
      </c>
      <c r="K125" s="292">
        <f>(('Input sheet'!$B$4/100)*'Phase calculation'!K3*'Phase calculation'!K44*'Input sheet'!$B$3)/3600</f>
        <v>6.1470500000000001</v>
      </c>
      <c r="L125" s="292">
        <f>(('Input sheet'!$B$4/100)*'Phase calculation'!L3*'Phase calculation'!L44*'Input sheet'!$B$3)/3600</f>
        <v>0.44309999999999994</v>
      </c>
      <c r="M125" s="292">
        <f>(('Input sheet'!$B$4/100)*'Phase calculation'!M3*'Phase calculation'!M44*'Input sheet'!$B$3)/3600</f>
        <v>6.1816999999999993</v>
      </c>
      <c r="N125" s="292">
        <f>(('Input sheet'!$B$4/100)*'Phase calculation'!N3*'Phase calculation'!N44*'Input sheet'!$B$3)/3600</f>
        <v>9.1511000000000013</v>
      </c>
      <c r="O125" s="292">
        <f>(('Input sheet'!$B$4/100)*'Phase calculation'!O3*'Phase calculation'!O44*'Input sheet'!$B$3)/3600</f>
        <v>0.76580000000000004</v>
      </c>
      <c r="P125" s="292">
        <f>(('Input sheet'!$B$4/100)*'Phase calculation'!P3*'Phase calculation'!P44*'Input sheet'!$B$3)/3600</f>
        <v>0</v>
      </c>
      <c r="Q125" s="292">
        <f>(('Input sheet'!$B$4/100)*'Phase calculation'!Q3*'Phase calculation'!Q44*'Input sheet'!$B$3)/3600</f>
        <v>0</v>
      </c>
      <c r="R125" s="292" t="e">
        <f>(('Input sheet'!$B$4/100)*'Phase calculation'!R3*'Phase calculation'!R44*'Input sheet'!$B$3)/3600</f>
        <v>#VALUE!</v>
      </c>
      <c r="S125" s="292" t="e">
        <f>(('Input sheet'!$B$4/100)*'Phase calculation'!S3*'Phase calculation'!S44*'Input sheet'!$B$3)/3600</f>
        <v>#VALUE!</v>
      </c>
      <c r="T125" s="292">
        <f>(('Input sheet'!$B$4/100)*'Phase calculation'!T3*'Phase calculation'!T44*'Input sheet'!$B$3)/3600</f>
        <v>0.31192000000000003</v>
      </c>
      <c r="U125" s="292">
        <f>(('Input sheet'!$B$4/100)*'Phase calculation'!U3*'Phase calculation'!U44*'Input sheet'!$B$3)/3600</f>
        <v>0</v>
      </c>
      <c r="V125" s="292">
        <f>(('Input sheet'!$B$4/100)*'Phase calculation'!V3*'Phase calculation'!V44*'Input sheet'!$B$3)/3600</f>
        <v>0</v>
      </c>
      <c r="W125" s="292">
        <f>(('Input sheet'!$B$4/100)*'Phase calculation'!W3*'Phase calculation'!W44*'Input sheet'!$B$3)/3600</f>
        <v>0</v>
      </c>
      <c r="X125" s="292">
        <f>(('Input sheet'!$B$4/100)*'Phase calculation'!X3*'Phase calculation'!X44*'Input sheet'!$B$3)/3600</f>
        <v>0</v>
      </c>
      <c r="Y125" s="292" t="e">
        <f>(('Input sheet'!$B$4/100)*'Phase calculation'!Y3*'Phase calculation'!Y44*'Input sheet'!$B$3)/3600</f>
        <v>#VALUE!</v>
      </c>
      <c r="Z125" s="292" t="e">
        <f>(('Input sheet'!$B$4/100)*'Phase calculation'!Z3*'Phase calculation'!Z44*'Input sheet'!$B$3)/3600</f>
        <v>#VALUE!</v>
      </c>
      <c r="AA125" s="292" t="e">
        <f>(('Input sheet'!$B$4/100)*'Phase calculation'!AA3*'Phase calculation'!AA44*'Input sheet'!$B$3)/3600</f>
        <v>#VALUE!</v>
      </c>
      <c r="AB125" s="292" t="e">
        <f>(('Input sheet'!$B$4/100)*'Phase calculation'!AB3*'Phase calculation'!AB44*'Input sheet'!$B$3)/3600</f>
        <v>#VALUE!</v>
      </c>
      <c r="AC125" s="292" t="e">
        <f>(('Input sheet'!$B$4/100)*'Phase calculation'!AC3*'Phase calculation'!AC44*'Input sheet'!$B$3)/3600</f>
        <v>#VALUE!</v>
      </c>
      <c r="AD125" s="292" t="e">
        <f>(('Input sheet'!$B$4/100)*'Phase calculation'!AD3*'Phase calculation'!AD44*'Input sheet'!$B$3)/3600</f>
        <v>#VALUE!</v>
      </c>
      <c r="AE125" s="292" t="e">
        <f>(('Input sheet'!$B$4/100)*'Phase calculation'!AE3*'Phase calculation'!AE44*'Input sheet'!$B$3)/3600</f>
        <v>#VALUE!</v>
      </c>
      <c r="AF125" s="292" t="e">
        <f>(('Input sheet'!$B$4/100)*'Phase calculation'!AF3*'Phase calculation'!AF44*'Input sheet'!$B$3)/3600</f>
        <v>#VALUE!</v>
      </c>
      <c r="AG125" s="292" t="e">
        <f>(('Input sheet'!$B$4/100)*'Phase calculation'!AG3*'Phase calculation'!AG44*'Input sheet'!$B$3)/3600</f>
        <v>#VALUE!</v>
      </c>
      <c r="AH125" s="292">
        <f>(('Input sheet'!$B$4/100)*'Phase calculation'!AH3*'Phase calculation'!AH44*'Input sheet'!$B$3)/3600</f>
        <v>0</v>
      </c>
      <c r="AI125" s="292" t="e">
        <f>(('Input sheet'!$B$4/100)*'Phase calculation'!AI3*'Phase calculation'!AI44*'Input sheet'!$B$3)/3600</f>
        <v>#VALUE!</v>
      </c>
      <c r="AJ125" s="292" t="e">
        <f>(('Input sheet'!$B$4/100)*'Phase calculation'!AJ3*'Phase calculation'!AJ44*'Input sheet'!$B$3)/3600</f>
        <v>#VALUE!</v>
      </c>
      <c r="AK125" s="292">
        <f>(('Input sheet'!$B$4/100)*'Phase calculation'!AK3*'Phase calculation'!AK44*'Input sheet'!$B$3)/3600</f>
        <v>3.0099999999999998E-2</v>
      </c>
      <c r="AL125" s="292">
        <f>(('Input sheet'!$B$4/100)*'Phase calculation'!AL3*'Phase calculation'!AL44*'Input sheet'!$B$3)/3600</f>
        <v>0</v>
      </c>
      <c r="AM125" s="292">
        <f>(('Input sheet'!$B$4/100)*'Phase calculation'!AM3*'Phase calculation'!AM44*'Input sheet'!$B$3)/3600</f>
        <v>7.7699999999999991E-2</v>
      </c>
      <c r="AN125" s="292">
        <f>(('Input sheet'!$B$4/100)*'Phase calculation'!AN3*'Phase calculation'!AN44*'Input sheet'!$B$3)/3600</f>
        <v>0</v>
      </c>
      <c r="AO125" s="292" t="e">
        <f>(('Input sheet'!$B$4/100)*'Phase calculation'!AO3*'Phase calculation'!AO44*'Input sheet'!$B$3)/3600</f>
        <v>#VALUE!</v>
      </c>
      <c r="AP125" s="292">
        <f>(('Input sheet'!$B$4/100)*'Phase calculation'!AP3*'Phase calculation'!AP44*'Input sheet'!$B$3)/3600</f>
        <v>0</v>
      </c>
      <c r="AQ125" s="292" t="e">
        <f>(('Input sheet'!$B$4/100)*'Phase calculation'!AQ3*'Phase calculation'!AQ44*'Input sheet'!$B$3)/3600</f>
        <v>#VALUE!</v>
      </c>
      <c r="AR125" s="292">
        <f>(('Input sheet'!$B$4/100)*'Phase calculation'!AR3*'Phase calculation'!AR44*'Input sheet'!$B$3)/3600</f>
        <v>0</v>
      </c>
      <c r="AS125" s="292">
        <f>(('Input sheet'!$B$4/100)*'Phase calculation'!AS3*'Phase calculation'!AS44*'Input sheet'!$B$3)/3600</f>
        <v>0</v>
      </c>
      <c r="AT125" s="292" t="e">
        <f>(('Input sheet'!$B$4/100)*'Phase calculation'!AT3*'Phase calculation'!AT44*'Input sheet'!$B$3)/3600</f>
        <v>#VALUE!</v>
      </c>
      <c r="AU125" s="292">
        <f>(('Input sheet'!$B$4/100)*'Phase calculation'!AU3*'Phase calculation'!AU44*'Input sheet'!$B$3)/3600</f>
        <v>0</v>
      </c>
      <c r="AV125" s="292">
        <f>(('Input sheet'!$B$4/100)*'Phase calculation'!AV3*'Phase calculation'!AV44*'Input sheet'!$B$3)/3600</f>
        <v>0</v>
      </c>
      <c r="AW125" s="292">
        <f>(('Input sheet'!$B$4/100)*'Phase calculation'!AW3*'Phase calculation'!AW44*'Input sheet'!$B$3)/3600</f>
        <v>0</v>
      </c>
      <c r="AX125" s="292">
        <f>(('Input sheet'!$B$4/100)*'Phase calculation'!AX3*'Phase calculation'!AX44*'Input sheet'!$B$3)/3600</f>
        <v>0</v>
      </c>
      <c r="AY125" s="292">
        <f>(('Input sheet'!$B$4/100)*'Phase calculation'!AY3*'Phase calculation'!AY44*'Input sheet'!$B$3)/3600</f>
        <v>0</v>
      </c>
      <c r="AZ125" s="292">
        <f>(('Input sheet'!$B$4/100)*'Phase calculation'!AZ3*'Phase calculation'!AZ44*'Input sheet'!$B$3)/3600</f>
        <v>0</v>
      </c>
      <c r="BA125" s="292">
        <f>(('Input sheet'!$B$4/100)*'Phase calculation'!BA3*'Phase calculation'!BA44*'Input sheet'!$B$3)/3600</f>
        <v>0</v>
      </c>
      <c r="BB125" s="292">
        <f>(('Input sheet'!$B$4/100)*'Phase calculation'!BB3*'Phase calculation'!BB44*'Input sheet'!$B$3)/3600</f>
        <v>0</v>
      </c>
      <c r="BC125" s="292">
        <f>(('Input sheet'!$B$4/100)*'Phase calculation'!BC3*'Phase calculation'!BC44*'Input sheet'!$B$3)/3600</f>
        <v>0</v>
      </c>
      <c r="BD125" s="292">
        <f>(('Input sheet'!$B$4/100)*'Phase calculation'!BD3*'Phase calculation'!BD44*'Input sheet'!$B$3)/3600</f>
        <v>0</v>
      </c>
      <c r="BE125" s="292">
        <f>(('Input sheet'!$B$4/100)*'Phase calculation'!BE3*'Phase calculation'!BE44*'Input sheet'!$B$3)/3600</f>
        <v>0</v>
      </c>
      <c r="BF125" s="292">
        <f>(('Input sheet'!$B$4/100)*'Phase calculation'!BF3*'Phase calculation'!BF44*'Input sheet'!$B$3)/3600</f>
        <v>0</v>
      </c>
      <c r="BG125" s="304">
        <f>SUM(D125:O125)</f>
        <v>155.22321500000004</v>
      </c>
    </row>
    <row r="126" spans="1:59" hidden="1" x14ac:dyDescent="0.25">
      <c r="A126" s="452"/>
      <c r="B126" s="290"/>
      <c r="C126" s="179" t="s">
        <v>61</v>
      </c>
      <c r="D126" s="179"/>
      <c r="E126" s="292">
        <f>E111*'Input sheet'!$B$2</f>
        <v>9.38439409722222</v>
      </c>
      <c r="F126" s="179"/>
      <c r="G126" s="179"/>
      <c r="H126" s="292">
        <f>H111*'Input sheet'!$B$2</f>
        <v>3.1992252604166667</v>
      </c>
      <c r="I126" s="179"/>
      <c r="J126" s="179"/>
      <c r="K126" s="292">
        <f>K111*'Input sheet'!$B$2</f>
        <v>6.0430058593750005</v>
      </c>
      <c r="L126" s="179"/>
      <c r="M126" s="179"/>
      <c r="N126" s="292">
        <f>N111*'Input sheet'!$B$2</f>
        <v>5.0187675781250007</v>
      </c>
      <c r="O126" s="179"/>
      <c r="P126" s="179"/>
      <c r="Q126" s="185"/>
      <c r="R126" s="179"/>
      <c r="S126" s="179"/>
      <c r="T126" s="179"/>
      <c r="U126" s="179"/>
      <c r="V126" s="179"/>
      <c r="W126" s="179"/>
      <c r="X126" s="179"/>
      <c r="Y126" s="179"/>
      <c r="Z126" s="179"/>
      <c r="AA126" s="179"/>
      <c r="AB126" s="179"/>
      <c r="AC126" s="179"/>
      <c r="AD126" s="179"/>
      <c r="AE126" s="179"/>
      <c r="AL126" s="185"/>
      <c r="AM126" s="185"/>
      <c r="AN126" s="185"/>
      <c r="AO126" s="185"/>
      <c r="AP126" s="185"/>
      <c r="AQ126" s="185"/>
      <c r="AR126" s="185"/>
      <c r="AS126" s="185"/>
      <c r="AT126" s="185"/>
      <c r="AU126" s="185"/>
      <c r="AV126" s="185"/>
      <c r="AW126" s="185"/>
      <c r="AX126" s="179"/>
      <c r="AY126" s="179"/>
      <c r="AZ126" s="179"/>
      <c r="BA126" s="179"/>
      <c r="BB126" s="179"/>
      <c r="BC126" s="179"/>
      <c r="BD126" s="179"/>
      <c r="BE126" s="179"/>
      <c r="BF126" s="179"/>
      <c r="BG126" s="304">
        <f>SUM(D126:O126)</f>
        <v>23.645392795138889</v>
      </c>
    </row>
    <row r="127" spans="1:59" hidden="1" x14ac:dyDescent="0.25">
      <c r="A127" s="452"/>
      <c r="B127" s="290"/>
      <c r="C127" s="179" t="s">
        <v>470</v>
      </c>
      <c r="D127" s="179"/>
      <c r="E127" s="292">
        <f>(E118*E120/3600)*'Input sheet'!$B$2</f>
        <v>0.50251256281407031</v>
      </c>
      <c r="F127" s="179"/>
      <c r="G127" s="179"/>
      <c r="H127" s="292">
        <f>(H118*H120/3600)*'Input sheet'!$B$2</f>
        <v>0.20040080160320639</v>
      </c>
      <c r="I127" s="179"/>
      <c r="J127" s="179"/>
      <c r="K127" s="292">
        <f>(K118*K120/3600)*'Input sheet'!$B$2</f>
        <v>3.4739592018231333E-2</v>
      </c>
      <c r="L127" s="179"/>
      <c r="M127" s="179"/>
      <c r="N127" s="292">
        <f>(N118*N120/3600)*'Input sheet'!$B$2</f>
        <v>0.13916722333556</v>
      </c>
      <c r="O127" s="179"/>
      <c r="P127" s="179"/>
      <c r="Q127" s="185"/>
      <c r="R127" s="179"/>
      <c r="S127" s="179"/>
      <c r="T127" s="179"/>
      <c r="U127" s="179"/>
      <c r="V127" s="179"/>
      <c r="W127" s="179"/>
      <c r="X127" s="179"/>
      <c r="Y127" s="179"/>
      <c r="Z127" s="179"/>
      <c r="AA127" s="179"/>
      <c r="AB127" s="179"/>
      <c r="AC127" s="179"/>
      <c r="AD127" s="179"/>
      <c r="AE127" s="179"/>
      <c r="AL127" s="185"/>
      <c r="AM127" s="185"/>
      <c r="AN127" s="185"/>
      <c r="AO127" s="185"/>
      <c r="AP127" s="185"/>
      <c r="AQ127" s="185"/>
      <c r="AR127" s="185"/>
      <c r="AS127" s="185"/>
      <c r="AT127" s="185"/>
      <c r="AU127" s="185"/>
      <c r="AV127" s="185"/>
      <c r="AW127" s="185"/>
      <c r="AX127" s="179"/>
      <c r="AY127" s="179"/>
      <c r="AZ127" s="179"/>
      <c r="BA127" s="179"/>
      <c r="BB127" s="179"/>
      <c r="BC127" s="179"/>
      <c r="BD127" s="179"/>
      <c r="BE127" s="179"/>
      <c r="BF127" s="179"/>
      <c r="BG127" s="304">
        <f>SUM(D127:O127)</f>
        <v>0.87682017977106796</v>
      </c>
    </row>
    <row r="128" spans="1:59" hidden="1" x14ac:dyDescent="0.25">
      <c r="A128" s="453"/>
      <c r="B128" s="294"/>
      <c r="C128" s="298" t="s">
        <v>471</v>
      </c>
      <c r="D128" s="299">
        <f>SUM(BG124:BG127)</f>
        <v>888.10533769713209</v>
      </c>
      <c r="E128" s="165"/>
      <c r="F128" s="165"/>
      <c r="G128" s="165"/>
      <c r="H128" s="165"/>
      <c r="I128" s="165"/>
      <c r="J128" s="165"/>
      <c r="K128" s="165"/>
      <c r="L128" s="165"/>
      <c r="M128" s="165"/>
      <c r="N128" s="165"/>
      <c r="O128" s="165"/>
      <c r="P128" s="165"/>
      <c r="Q128" s="257"/>
      <c r="R128" s="165"/>
      <c r="S128" s="165"/>
      <c r="T128" s="165"/>
      <c r="U128" s="165"/>
      <c r="V128" s="165"/>
      <c r="W128" s="165"/>
      <c r="X128" s="165"/>
      <c r="Y128" s="165"/>
      <c r="Z128" s="165"/>
      <c r="AA128" s="165"/>
      <c r="AB128" s="165"/>
      <c r="AC128" s="165"/>
      <c r="AD128" s="165"/>
      <c r="AE128" s="165"/>
      <c r="AF128" s="257"/>
      <c r="AG128" s="257"/>
      <c r="AH128" s="257"/>
      <c r="AI128" s="257"/>
      <c r="AJ128" s="257"/>
      <c r="AK128" s="257"/>
      <c r="AL128" s="257"/>
      <c r="AM128" s="257"/>
      <c r="AN128" s="257"/>
      <c r="AO128" s="257"/>
      <c r="AP128" s="257"/>
      <c r="AQ128" s="257"/>
      <c r="AR128" s="257"/>
      <c r="AS128" s="257"/>
      <c r="AT128" s="257"/>
      <c r="AU128" s="257"/>
      <c r="AV128" s="257"/>
      <c r="AW128" s="257"/>
      <c r="AX128" s="165"/>
      <c r="AY128" s="165"/>
      <c r="AZ128" s="165"/>
      <c r="BA128" s="165"/>
      <c r="BB128" s="165"/>
      <c r="BC128" s="165"/>
      <c r="BD128" s="165"/>
      <c r="BE128" s="165"/>
      <c r="BF128" s="165"/>
      <c r="BG128" s="307"/>
    </row>
    <row r="129" spans="1:64" hidden="1" x14ac:dyDescent="0.25"/>
    <row r="130" spans="1:64" hidden="1" x14ac:dyDescent="0.25"/>
    <row r="131" spans="1:64" hidden="1" x14ac:dyDescent="0.25">
      <c r="C131" s="309"/>
      <c r="D131" s="253" t="s">
        <v>472</v>
      </c>
      <c r="E131" s="253" t="s">
        <v>473</v>
      </c>
      <c r="F131" s="253" t="s">
        <v>474</v>
      </c>
      <c r="G131" s="253" t="s">
        <v>475</v>
      </c>
      <c r="H131" s="301"/>
      <c r="BJ131" s="2" t="s">
        <v>476</v>
      </c>
      <c r="BK131" s="2" t="s">
        <v>477</v>
      </c>
      <c r="BL131" s="2" t="s">
        <v>478</v>
      </c>
    </row>
    <row r="132" spans="1:64" hidden="1" x14ac:dyDescent="0.25">
      <c r="C132" s="178" t="s">
        <v>479</v>
      </c>
      <c r="D132" s="179">
        <f>Phasing!P3</f>
        <v>108</v>
      </c>
      <c r="E132" s="179">
        <f>Phasing!R3</f>
        <v>108</v>
      </c>
      <c r="F132" s="179">
        <f>Phasing!T3</f>
        <v>84</v>
      </c>
      <c r="G132" s="179">
        <f>Phasing!V3</f>
        <v>84</v>
      </c>
      <c r="H132" s="302"/>
      <c r="BJ132" s="2">
        <v>8</v>
      </c>
      <c r="BK132" s="2" t="s">
        <v>480</v>
      </c>
      <c r="BL132" s="2">
        <v>300</v>
      </c>
    </row>
    <row r="133" spans="1:64" hidden="1" x14ac:dyDescent="0.25">
      <c r="C133" s="178" t="s">
        <v>43</v>
      </c>
      <c r="D133" s="179">
        <f>'Input sheet'!D13</f>
        <v>40</v>
      </c>
      <c r="E133" s="179">
        <f>'Input sheet'!P13</f>
        <v>40</v>
      </c>
      <c r="F133" s="179">
        <f>'Input sheet'!J24</f>
        <v>30</v>
      </c>
      <c r="G133" s="179">
        <f>'Input sheet'!J4</f>
        <v>30</v>
      </c>
      <c r="H133" s="302"/>
      <c r="BJ133" s="2">
        <v>6</v>
      </c>
      <c r="BK133" s="2" t="s">
        <v>481</v>
      </c>
      <c r="BL133" s="2">
        <v>350</v>
      </c>
    </row>
    <row r="134" spans="1:64" hidden="1" x14ac:dyDescent="0.25">
      <c r="C134" s="178" t="s">
        <v>482</v>
      </c>
      <c r="D134" s="179" t="e">
        <f>VLOOKUP(D133,#REF!,3)</f>
        <v>#REF!</v>
      </c>
      <c r="E134" s="179" t="e">
        <f>VLOOKUP(E133,#REF!,3)</f>
        <v>#REF!</v>
      </c>
      <c r="F134" s="179" t="e">
        <f>VLOOKUP(F133,#REF!,3)</f>
        <v>#REF!</v>
      </c>
      <c r="G134" s="179" t="e">
        <f>VLOOKUP(G133,#REF!,3)</f>
        <v>#REF!</v>
      </c>
      <c r="H134" s="302"/>
      <c r="BJ134" s="2">
        <v>5</v>
      </c>
      <c r="BK134" s="2" t="s">
        <v>483</v>
      </c>
      <c r="BL134" s="2">
        <v>660</v>
      </c>
    </row>
    <row r="135" spans="1:64" hidden="1" x14ac:dyDescent="0.25">
      <c r="C135" s="178" t="s">
        <v>478</v>
      </c>
      <c r="D135" s="179" t="e">
        <f>INDEX($BL$132:$BL$134,MATCH(D134,$BK$132:$BK$134,0))</f>
        <v>#REF!</v>
      </c>
      <c r="E135" s="179" t="e">
        <f t="shared" ref="E135:G135" si="24">INDEX($BL$132:$BL$134,MATCH(E134,$BK$132:$BK$134,0))</f>
        <v>#REF!</v>
      </c>
      <c r="F135" s="179" t="e">
        <f t="shared" si="24"/>
        <v>#REF!</v>
      </c>
      <c r="G135" s="179" t="e">
        <f t="shared" si="24"/>
        <v>#REF!</v>
      </c>
      <c r="H135" s="302"/>
    </row>
    <row r="136" spans="1:64" hidden="1" x14ac:dyDescent="0.25">
      <c r="C136" s="178" t="s">
        <v>484</v>
      </c>
      <c r="D136" s="179" t="e">
        <f>INDEX(#REF!,MATCH(D134,$BK$132:$BK$134,0))</f>
        <v>#REF!</v>
      </c>
      <c r="E136" s="179" t="e">
        <f>INDEX(#REF!,MATCH(E134,$BK$132:$BK$134,0))</f>
        <v>#REF!</v>
      </c>
      <c r="F136" s="179" t="e">
        <f>INDEX(#REF!,MATCH(F134,$BK$132:$BK$134,0))</f>
        <v>#REF!</v>
      </c>
      <c r="G136" s="179" t="e">
        <f>INDEX(#REF!,MATCH(G134,$BK$132:$BK$134,0))</f>
        <v>#REF!</v>
      </c>
      <c r="H136" s="302"/>
    </row>
    <row r="137" spans="1:64" hidden="1" x14ac:dyDescent="0.25">
      <c r="C137" s="178" t="s">
        <v>485</v>
      </c>
      <c r="D137" s="179" t="e">
        <f>INDEX(#REF!,MATCH(D134,$BK$132:$BK$134,0))</f>
        <v>#REF!</v>
      </c>
      <c r="E137" s="179" t="e">
        <f>INDEX(#REF!,MATCH(E134,$BK$132:$BK$134,0))</f>
        <v>#REF!</v>
      </c>
      <c r="F137" s="179" t="e">
        <f>INDEX(#REF!,MATCH(F134,$BK$132:$BK$134,0))</f>
        <v>#REF!</v>
      </c>
      <c r="G137" s="179" t="e">
        <f>INDEX(#REF!,MATCH(G134,$BK$132:$BK$134,0))</f>
        <v>#REF!</v>
      </c>
      <c r="H137" s="310" t="s">
        <v>469</v>
      </c>
    </row>
    <row r="138" spans="1:64" hidden="1" x14ac:dyDescent="0.25">
      <c r="C138" s="178" t="s">
        <v>486</v>
      </c>
      <c r="D138" s="291" t="e">
        <f>(D137-D132)/D135</f>
        <v>#REF!</v>
      </c>
      <c r="E138" s="291" t="e">
        <f t="shared" ref="E138:G138" si="25">(E137-E132)/E135</f>
        <v>#REF!</v>
      </c>
      <c r="F138" s="291" t="e">
        <f t="shared" si="25"/>
        <v>#REF!</v>
      </c>
      <c r="G138" s="291" t="e">
        <f t="shared" si="25"/>
        <v>#REF!</v>
      </c>
      <c r="H138" s="311" t="e">
        <f>SUM(D138:G138)</f>
        <v>#REF!</v>
      </c>
    </row>
    <row r="139" spans="1:64" hidden="1" x14ac:dyDescent="0.25">
      <c r="C139" s="166" t="s">
        <v>487</v>
      </c>
      <c r="D139" s="312" t="e">
        <f>(D137-D132)/D136</f>
        <v>#REF!</v>
      </c>
      <c r="E139" s="312" t="e">
        <f t="shared" ref="E139:G139" si="26">(E137-E132)/E136</f>
        <v>#REF!</v>
      </c>
      <c r="F139" s="312" t="e">
        <f t="shared" si="26"/>
        <v>#REF!</v>
      </c>
      <c r="G139" s="312" t="e">
        <f t="shared" si="26"/>
        <v>#REF!</v>
      </c>
      <c r="H139" s="313" t="e">
        <f>SUM(D139:G139)</f>
        <v>#REF!</v>
      </c>
    </row>
    <row r="140" spans="1:64" hidden="1" x14ac:dyDescent="0.25"/>
    <row r="141" spans="1:64" hidden="1" x14ac:dyDescent="0.25"/>
    <row r="142" spans="1:64" hidden="1" x14ac:dyDescent="0.25">
      <c r="A142" s="454" t="s">
        <v>488</v>
      </c>
      <c r="B142" s="314"/>
      <c r="C142" s="253" t="s">
        <v>113</v>
      </c>
      <c r="D142" s="253"/>
      <c r="E142" s="253" t="s">
        <v>14</v>
      </c>
      <c r="F142" s="253"/>
      <c r="G142" s="253"/>
      <c r="H142" s="253" t="s">
        <v>19</v>
      </c>
      <c r="I142" s="253"/>
      <c r="J142" s="253"/>
      <c r="K142" s="253" t="s">
        <v>4</v>
      </c>
      <c r="L142" s="253"/>
      <c r="M142" s="253"/>
      <c r="N142" s="301" t="s">
        <v>9</v>
      </c>
    </row>
    <row r="143" spans="1:64" hidden="1" x14ac:dyDescent="0.25">
      <c r="A143" s="455"/>
      <c r="B143" s="315"/>
      <c r="C143" s="179" t="s">
        <v>489</v>
      </c>
      <c r="D143" s="179"/>
      <c r="E143" s="293">
        <f>'Input sheet'!A15</f>
        <v>10</v>
      </c>
      <c r="F143" s="293"/>
      <c r="G143" s="293"/>
      <c r="H143" s="293">
        <f>'Input sheet'!R15</f>
        <v>10</v>
      </c>
      <c r="I143" s="293"/>
      <c r="J143" s="293"/>
      <c r="K143" s="293">
        <f>'Input sheet'!M26</f>
        <v>0</v>
      </c>
      <c r="L143" s="293"/>
      <c r="M143" s="293"/>
      <c r="N143" s="305">
        <f>'Input sheet'!M2</f>
        <v>0</v>
      </c>
    </row>
    <row r="144" spans="1:64" hidden="1" x14ac:dyDescent="0.25">
      <c r="A144" s="455"/>
      <c r="B144" s="315"/>
      <c r="C144" s="179" t="s">
        <v>490</v>
      </c>
      <c r="D144" s="179"/>
      <c r="E144" s="293">
        <f>E38</f>
        <v>32</v>
      </c>
      <c r="F144" s="293"/>
      <c r="G144" s="293"/>
      <c r="H144" s="293">
        <f>H38</f>
        <v>32</v>
      </c>
      <c r="I144" s="293"/>
      <c r="J144" s="293"/>
      <c r="K144" s="293">
        <f>K38</f>
        <v>40</v>
      </c>
      <c r="L144" s="293"/>
      <c r="M144" s="293"/>
      <c r="N144" s="305">
        <f>N38</f>
        <v>40</v>
      </c>
    </row>
    <row r="145" spans="1:65" hidden="1" x14ac:dyDescent="0.25">
      <c r="A145" s="455"/>
      <c r="B145" s="315"/>
      <c r="C145" s="179" t="s">
        <v>491</v>
      </c>
      <c r="D145" s="179"/>
      <c r="E145" s="291">
        <f>E44</f>
        <v>16.5</v>
      </c>
      <c r="F145" s="291"/>
      <c r="G145" s="291"/>
      <c r="H145" s="291">
        <f>H44</f>
        <v>16.5</v>
      </c>
      <c r="I145" s="291"/>
      <c r="J145" s="291"/>
      <c r="K145" s="291">
        <f>K44</f>
        <v>13.51</v>
      </c>
      <c r="L145" s="291"/>
      <c r="M145" s="291"/>
      <c r="N145" s="303">
        <f>N44</f>
        <v>15.38</v>
      </c>
    </row>
    <row r="146" spans="1:65" hidden="1" x14ac:dyDescent="0.25">
      <c r="A146" s="456"/>
      <c r="B146" s="316"/>
      <c r="C146" s="165" t="s">
        <v>492</v>
      </c>
      <c r="D146" s="165"/>
      <c r="E146" s="296">
        <f>(E143*E145+H143*H145+K143*K145+N143*N145)/3600</f>
        <v>9.166666666666666E-2</v>
      </c>
      <c r="F146" s="165"/>
      <c r="G146" s="165"/>
      <c r="H146" s="165"/>
      <c r="I146" s="165"/>
      <c r="J146" s="165"/>
      <c r="K146" s="165"/>
      <c r="L146" s="165"/>
      <c r="M146" s="165"/>
      <c r="N146" s="307"/>
    </row>
    <row r="147" spans="1:65" hidden="1" x14ac:dyDescent="0.25"/>
    <row r="149" spans="1:65" x14ac:dyDescent="0.25">
      <c r="C149" s="2" t="s">
        <v>493</v>
      </c>
      <c r="D149" s="2" t="str">
        <f>IF(D33=0,E33&amp;"2",D33)</f>
        <v>42</v>
      </c>
      <c r="E149" s="2">
        <f>E33</f>
        <v>4</v>
      </c>
      <c r="F149" s="2" t="str">
        <f>F33&amp;"1"</f>
        <v>41</v>
      </c>
      <c r="G149" s="2" t="str">
        <f>IF(G33=0,H33&amp;"2",G33)</f>
        <v>82</v>
      </c>
      <c r="H149" s="2">
        <f>H33</f>
        <v>8</v>
      </c>
      <c r="I149" s="2" t="str">
        <f>I33&amp;"1"</f>
        <v>81</v>
      </c>
      <c r="J149" s="2" t="str">
        <f>IF(J33=0,K33&amp;"2",J33)</f>
        <v>22</v>
      </c>
      <c r="K149" s="2">
        <f>K33</f>
        <v>2</v>
      </c>
      <c r="L149" s="2" t="str">
        <f>L33&amp;"1"</f>
        <v>21</v>
      </c>
      <c r="M149" s="2" t="str">
        <f>IF(M33=0,N33&amp;"2",M33)</f>
        <v>62</v>
      </c>
      <c r="N149" s="2">
        <f>N33</f>
        <v>6</v>
      </c>
      <c r="O149" s="2" t="str">
        <f>O33&amp;"1"</f>
        <v>61</v>
      </c>
      <c r="BL149" s="2" t="s">
        <v>149</v>
      </c>
      <c r="BM149" s="2" t="s">
        <v>149</v>
      </c>
    </row>
    <row r="150" spans="1:65" x14ac:dyDescent="0.25">
      <c r="C150" s="2" t="s">
        <v>494</v>
      </c>
      <c r="D150" s="2">
        <f>IF(D33=0,E33,D33)</f>
        <v>4</v>
      </c>
      <c r="E150" s="2">
        <f>E33</f>
        <v>4</v>
      </c>
      <c r="F150" s="2">
        <f>F33</f>
        <v>4</v>
      </c>
      <c r="G150" s="2">
        <f>IF(G33=0,H33,G33)</f>
        <v>8</v>
      </c>
      <c r="H150" s="2">
        <f>H33</f>
        <v>8</v>
      </c>
      <c r="I150" s="2">
        <f>I33</f>
        <v>8</v>
      </c>
      <c r="J150" s="2">
        <f>IF(J33=0,K33,J33)</f>
        <v>2</v>
      </c>
      <c r="K150" s="2">
        <f>K33</f>
        <v>2</v>
      </c>
      <c r="L150" s="2">
        <f>L33</f>
        <v>2</v>
      </c>
      <c r="M150" s="2">
        <f>IF(M33=0,N33,M33)</f>
        <v>6</v>
      </c>
      <c r="N150" s="2">
        <f>N33</f>
        <v>6</v>
      </c>
      <c r="O150" s="2">
        <f>O33</f>
        <v>6</v>
      </c>
      <c r="BL150" s="2" t="s">
        <v>151</v>
      </c>
      <c r="BM150" s="2" t="s">
        <v>495</v>
      </c>
    </row>
    <row r="151" spans="1:65" x14ac:dyDescent="0.25">
      <c r="C151" s="2" t="s">
        <v>496</v>
      </c>
      <c r="D151" s="2" t="str">
        <f>'Phase designation'!C23</f>
        <v>Permitted</v>
      </c>
      <c r="G151" s="2" t="str">
        <f>'Phase designation'!E23</f>
        <v>Permitted</v>
      </c>
      <c r="J151" s="2" t="str">
        <f>'Phase designation'!G23</f>
        <v>Permitted</v>
      </c>
      <c r="M151" s="2" t="str">
        <f>'Phase designation'!I23</f>
        <v>Permitted</v>
      </c>
      <c r="BL151" s="2" t="s">
        <v>181</v>
      </c>
      <c r="BM151" s="2" t="s">
        <v>497</v>
      </c>
    </row>
    <row r="152" spans="1:65" x14ac:dyDescent="0.25">
      <c r="C152" s="2" t="s">
        <v>498</v>
      </c>
      <c r="D152" s="2" t="str">
        <f>IF(D150=0,"",INDEX($BM$149:$BM$151,MATCH(D151,$BL$149:$BL$151,0)))</f>
        <v>Permissive</v>
      </c>
      <c r="E152" s="2" t="str">
        <f>IF(E150=0,"","Protected")</f>
        <v>Protected</v>
      </c>
      <c r="F152" s="2" t="str">
        <f>IF(F150=0,"","RTOR")</f>
        <v>RTOR</v>
      </c>
      <c r="G152" s="2" t="str">
        <f>IF(G150=0,"",INDEX($BM$149:$BM$151,MATCH(G151,$BL$149:$BL$151,0)))</f>
        <v>Permissive</v>
      </c>
      <c r="H152" s="2" t="str">
        <f>IF(H150=0,"","Protected")</f>
        <v>Protected</v>
      </c>
      <c r="I152" s="2" t="str">
        <f>IF(I150=0,"","RTOR")</f>
        <v>RTOR</v>
      </c>
      <c r="J152" s="2" t="str">
        <f>IF(J150=0,"",INDEX($BM$149:$BM$151,MATCH(J151,$BL$149:$BL$151,0)))</f>
        <v>Permissive</v>
      </c>
      <c r="K152" s="2" t="str">
        <f>IF(K150=0,"","Protected")</f>
        <v>Protected</v>
      </c>
      <c r="L152" s="2" t="str">
        <f>IF(L150=0,"","RTOR")</f>
        <v>RTOR</v>
      </c>
      <c r="M152" s="2" t="str">
        <f>IF(M150=0,"",INDEX($BM$149:$BM$151,MATCH(M151,$BL$149:$BL$151,0)))</f>
        <v>Permissive</v>
      </c>
      <c r="N152" s="2" t="str">
        <f>IF(N150=0,"","Protected")</f>
        <v>Protected</v>
      </c>
      <c r="O152" s="2" t="str">
        <f>IF(O150=0,"","RTOR")</f>
        <v>RTOR</v>
      </c>
    </row>
    <row r="154" spans="1:65" x14ac:dyDescent="0.25">
      <c r="C154" s="2" t="s">
        <v>499</v>
      </c>
    </row>
    <row r="155" spans="1:65" x14ac:dyDescent="0.25">
      <c r="C155" s="12" t="s">
        <v>500</v>
      </c>
      <c r="D155" s="2">
        <f>IF(D150=0,"",Sheet1!$B$2)</f>
        <v>1</v>
      </c>
      <c r="E155" s="2">
        <f>IF(E150=0,"",Sheet1!$B$2)</f>
        <v>1</v>
      </c>
      <c r="F155" s="2">
        <f>IF(F150=0,"",Sheet1!$B$2)</f>
        <v>1</v>
      </c>
      <c r="G155" s="2">
        <f>IF(G150=0,"",Sheet1!$B$2)</f>
        <v>1</v>
      </c>
      <c r="H155" s="2">
        <f>IF(H150=0,"",Sheet1!$B$2)</f>
        <v>1</v>
      </c>
      <c r="I155" s="2">
        <f>IF(I150=0,"",Sheet1!$B$2)</f>
        <v>1</v>
      </c>
      <c r="J155" s="2">
        <f>IF(J150=0,"",Sheet1!$B$2)</f>
        <v>1</v>
      </c>
      <c r="K155" s="2">
        <f>IF(K150=0,"",Sheet1!$B$2)</f>
        <v>1</v>
      </c>
      <c r="L155" s="2">
        <f>IF(L150=0,"",Sheet1!$B$2)</f>
        <v>1</v>
      </c>
      <c r="M155" s="2">
        <f>IF(M150=0,"",Sheet1!$B$2)</f>
        <v>1</v>
      </c>
      <c r="N155" s="2">
        <f>IF(N150=0,"",Sheet1!$B$2)</f>
        <v>1</v>
      </c>
      <c r="O155" s="2">
        <f>IF(O150=0,"",Sheet1!$B$2)</f>
        <v>1</v>
      </c>
    </row>
    <row r="156" spans="1:65" x14ac:dyDescent="0.25">
      <c r="C156" s="12" t="s">
        <v>501</v>
      </c>
      <c r="D156" s="2" t="str">
        <f>IF(D150=0,"",D149)</f>
        <v>42</v>
      </c>
      <c r="E156" s="2">
        <f t="shared" ref="E156:O156" si="27">IF(E150=0,"",E149)</f>
        <v>4</v>
      </c>
      <c r="F156" s="2" t="str">
        <f t="shared" si="27"/>
        <v>41</v>
      </c>
      <c r="G156" s="2" t="str">
        <f t="shared" si="27"/>
        <v>82</v>
      </c>
      <c r="H156" s="2">
        <f t="shared" si="27"/>
        <v>8</v>
      </c>
      <c r="I156" s="2" t="str">
        <f t="shared" si="27"/>
        <v>81</v>
      </c>
      <c r="J156" s="2" t="str">
        <f t="shared" si="27"/>
        <v>22</v>
      </c>
      <c r="K156" s="2">
        <f t="shared" si="27"/>
        <v>2</v>
      </c>
      <c r="L156" s="2" t="str">
        <f t="shared" si="27"/>
        <v>21</v>
      </c>
      <c r="M156" s="2" t="str">
        <f t="shared" si="27"/>
        <v>62</v>
      </c>
      <c r="N156" s="2">
        <f t="shared" si="27"/>
        <v>6</v>
      </c>
      <c r="O156" s="2" t="str">
        <f t="shared" si="27"/>
        <v>61</v>
      </c>
    </row>
    <row r="157" spans="1:65" x14ac:dyDescent="0.25">
      <c r="C157" s="12" t="s">
        <v>502</v>
      </c>
    </row>
    <row r="158" spans="1:65" x14ac:dyDescent="0.25">
      <c r="C158" s="12" t="s">
        <v>503</v>
      </c>
      <c r="D158" s="2">
        <f>IF(D150=0,"",D150)</f>
        <v>4</v>
      </c>
      <c r="E158" s="2">
        <f t="shared" ref="E158:O158" si="28">IF(E150=0,"",E150)</f>
        <v>4</v>
      </c>
      <c r="F158" s="2">
        <f t="shared" si="28"/>
        <v>4</v>
      </c>
      <c r="G158" s="2">
        <f t="shared" si="28"/>
        <v>8</v>
      </c>
      <c r="H158" s="2">
        <f t="shared" si="28"/>
        <v>8</v>
      </c>
      <c r="I158" s="2">
        <f t="shared" si="28"/>
        <v>8</v>
      </c>
      <c r="J158" s="2">
        <f t="shared" si="28"/>
        <v>2</v>
      </c>
      <c r="K158" s="2">
        <f t="shared" si="28"/>
        <v>2</v>
      </c>
      <c r="L158" s="2">
        <f t="shared" si="28"/>
        <v>2</v>
      </c>
      <c r="M158" s="2">
        <f t="shared" si="28"/>
        <v>6</v>
      </c>
      <c r="N158" s="2">
        <f t="shared" si="28"/>
        <v>6</v>
      </c>
      <c r="O158" s="2">
        <f t="shared" si="28"/>
        <v>6</v>
      </c>
    </row>
    <row r="159" spans="1:65" x14ac:dyDescent="0.25">
      <c r="C159" s="12" t="s">
        <v>504</v>
      </c>
      <c r="D159" s="2" t="str">
        <f>D152</f>
        <v>Permissive</v>
      </c>
      <c r="E159" s="2" t="str">
        <f t="shared" ref="E159:O159" si="29">E152</f>
        <v>Protected</v>
      </c>
      <c r="F159" s="2" t="str">
        <f t="shared" si="29"/>
        <v>RTOR</v>
      </c>
      <c r="G159" s="2" t="str">
        <f t="shared" si="29"/>
        <v>Permissive</v>
      </c>
      <c r="H159" s="2" t="str">
        <f t="shared" si="29"/>
        <v>Protected</v>
      </c>
      <c r="I159" s="2" t="str">
        <f t="shared" si="29"/>
        <v>RTOR</v>
      </c>
      <c r="J159" s="2" t="str">
        <f t="shared" si="29"/>
        <v>Permissive</v>
      </c>
      <c r="K159" s="2" t="str">
        <f t="shared" si="29"/>
        <v>Protected</v>
      </c>
      <c r="L159" s="2" t="str">
        <f t="shared" si="29"/>
        <v>RTOR</v>
      </c>
      <c r="M159" s="2" t="str">
        <f t="shared" si="29"/>
        <v>Permissive</v>
      </c>
      <c r="N159" s="2" t="str">
        <f t="shared" si="29"/>
        <v>Protected</v>
      </c>
      <c r="O159" s="2" t="str">
        <f t="shared" si="29"/>
        <v>RTOR</v>
      </c>
    </row>
    <row r="160" spans="1:65" x14ac:dyDescent="0.25">
      <c r="C160" s="12" t="s">
        <v>505</v>
      </c>
    </row>
  </sheetData>
  <mergeCells count="31">
    <mergeCell ref="C1:E1"/>
    <mergeCell ref="Z1:AD1"/>
    <mergeCell ref="D17:F17"/>
    <mergeCell ref="G17:I17"/>
    <mergeCell ref="J17:L17"/>
    <mergeCell ref="M17:O17"/>
    <mergeCell ref="AQ33:AQ34"/>
    <mergeCell ref="AQ35:AQ36"/>
    <mergeCell ref="AA19:AB19"/>
    <mergeCell ref="AC19:AD19"/>
    <mergeCell ref="AA20:AB20"/>
    <mergeCell ref="AC20:AD20"/>
    <mergeCell ref="AA21:AB21"/>
    <mergeCell ref="AC21:AD21"/>
    <mergeCell ref="BA38:BC38"/>
    <mergeCell ref="Z43:AC43"/>
    <mergeCell ref="D56:E56"/>
    <mergeCell ref="G56:H56"/>
    <mergeCell ref="J56:K56"/>
    <mergeCell ref="M56:N56"/>
    <mergeCell ref="AR38:AT38"/>
    <mergeCell ref="AU38:AW38"/>
    <mergeCell ref="AX38:AZ38"/>
    <mergeCell ref="A106:A114"/>
    <mergeCell ref="A116:A121"/>
    <mergeCell ref="A123:A128"/>
    <mergeCell ref="A142:A146"/>
    <mergeCell ref="S6:S10"/>
    <mergeCell ref="S18:S19"/>
    <mergeCell ref="E24:F24"/>
    <mergeCell ref="S27:V27"/>
  </mergeCells>
  <phoneticPr fontId="25" type="noConversion"/>
  <conditionalFormatting sqref="E24:F24">
    <cfRule type="containsText" dxfId="23" priority="27" stopIfTrue="1" operator="containsText" text="CS/RS">
      <formula>NOT(ISERROR(SEARCH("CS/RS",E24)))</formula>
    </cfRule>
    <cfRule type="containsText" dxfId="22" priority="28" stopIfTrue="1" operator="containsText" text="Webster">
      <formula>NOT(ISERROR(SEARCH("Webster",E24)))</formula>
    </cfRule>
  </conditionalFormatting>
  <conditionalFormatting sqref="F45:F53 D53:E53 D45:E48 G50:G53 G45:G48 J50:M53 J45:M48 D50 P46:P53 N45:O53 H45:I53">
    <cfRule type="containsText" dxfId="21" priority="2" stopIfTrue="1" operator="containsText" text="N/A">
      <formula>NOT(ISERROR(SEARCH("N/A",D45)))</formula>
    </cfRule>
    <cfRule type="containsText" dxfId="20" priority="21" stopIfTrue="1" operator="containsText" text="F">
      <formula>NOT(ISERROR(SEARCH("F",D45)))</formula>
    </cfRule>
    <cfRule type="containsText" dxfId="19" priority="22" stopIfTrue="1" operator="containsText" text="E">
      <formula>NOT(ISERROR(SEARCH("E",D45)))</formula>
    </cfRule>
    <cfRule type="containsText" dxfId="18" priority="23" stopIfTrue="1" operator="containsText" text="D">
      <formula>NOT(ISERROR(SEARCH("D",D45)))</formula>
    </cfRule>
    <cfRule type="containsText" dxfId="17" priority="24" stopIfTrue="1" operator="containsText" text="C">
      <formula>NOT(ISERROR(SEARCH("C",D45)))</formula>
    </cfRule>
    <cfRule type="containsText" dxfId="16" priority="25" stopIfTrue="1" operator="containsText" text="B">
      <formula>NOT(ISERROR(SEARCH("B",D45)))</formula>
    </cfRule>
    <cfRule type="containsText" dxfId="15" priority="26" stopIfTrue="1" operator="containsText" text="A">
      <formula>NOT(ISERROR(SEARCH("A",D45)))</formula>
    </cfRule>
  </conditionalFormatting>
  <conditionalFormatting sqref="D86:I87">
    <cfRule type="cellIs" dxfId="14" priority="1" stopIfTrue="1" operator="equal">
      <formula>1</formula>
    </cfRule>
  </conditionalFormatting>
  <pageMargins left="0.7" right="0.7" top="0.75" bottom="0.75" header="0.3" footer="0.3"/>
  <pageSetup orientation="portrait" horizontalDpi="1200" verticalDpi="1200" r:id="rId1"/>
  <ignoredErrors>
    <ignoredError sqref="M14 J14 G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Pict="0" macro="[0]!Sheet5.Min_delay">
                <anchor moveWithCells="1" sizeWithCells="1">
                  <from>
                    <xdr:col>63</xdr:col>
                    <xdr:colOff>1363980</xdr:colOff>
                    <xdr:row>13</xdr:row>
                    <xdr:rowOff>83820</xdr:rowOff>
                  </from>
                  <to>
                    <xdr:col>66</xdr:col>
                    <xdr:colOff>571500</xdr:colOff>
                    <xdr:row>18</xdr:row>
                    <xdr:rowOff>83820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ColWidth="9" defaultRowHeight="14.4" x14ac:dyDescent="0.25"/>
  <cols>
    <col min="2" max="3" width="9.109375" style="2"/>
  </cols>
  <sheetData>
    <row r="3" spans="1:14" x14ac:dyDescent="0.25">
      <c r="D3" s="430" t="s">
        <v>506</v>
      </c>
      <c r="E3" s="430"/>
      <c r="F3" s="430"/>
      <c r="G3" s="430"/>
      <c r="H3" s="430"/>
      <c r="I3" s="430"/>
      <c r="J3" s="430"/>
      <c r="K3" s="430"/>
      <c r="L3" s="430" t="s">
        <v>507</v>
      </c>
      <c r="M3" s="430"/>
      <c r="N3" s="430"/>
    </row>
    <row r="4" spans="1:14" x14ac:dyDescent="0.25">
      <c r="D4" s="430" t="s">
        <v>508</v>
      </c>
      <c r="E4" s="430"/>
      <c r="F4" s="430"/>
      <c r="G4" s="430"/>
      <c r="H4" s="430"/>
      <c r="I4" s="430"/>
      <c r="J4" s="430"/>
      <c r="K4" s="430"/>
    </row>
    <row r="5" spans="1:14" ht="43.2" x14ac:dyDescent="0.25">
      <c r="B5" s="181" t="s">
        <v>509</v>
      </c>
      <c r="C5" s="182">
        <v>40</v>
      </c>
      <c r="D5" s="183">
        <v>50</v>
      </c>
      <c r="E5" s="183">
        <v>60</v>
      </c>
      <c r="F5" s="183">
        <v>70</v>
      </c>
      <c r="G5" s="183">
        <v>80</v>
      </c>
      <c r="H5" s="183">
        <v>90</v>
      </c>
      <c r="I5" s="183">
        <v>100</v>
      </c>
      <c r="J5" s="183">
        <v>110</v>
      </c>
      <c r="K5" s="183">
        <v>120</v>
      </c>
      <c r="L5" s="183">
        <v>130</v>
      </c>
      <c r="M5" s="183">
        <v>140</v>
      </c>
      <c r="N5" s="183">
        <v>150</v>
      </c>
    </row>
    <row r="6" spans="1:14" x14ac:dyDescent="0.25">
      <c r="B6" s="2" t="s">
        <v>510</v>
      </c>
      <c r="D6" s="430" t="s">
        <v>511</v>
      </c>
      <c r="E6" s="430"/>
      <c r="F6" s="430"/>
      <c r="G6" s="430"/>
      <c r="H6" s="430"/>
      <c r="I6" s="430"/>
      <c r="J6" s="430"/>
      <c r="K6" s="430"/>
    </row>
    <row r="7" spans="1:14" x14ac:dyDescent="0.25">
      <c r="A7" s="425" t="s">
        <v>512</v>
      </c>
      <c r="B7" s="6">
        <v>0</v>
      </c>
      <c r="C7" s="6">
        <v>5</v>
      </c>
      <c r="D7" s="6">
        <v>5</v>
      </c>
      <c r="E7" s="6">
        <v>5</v>
      </c>
      <c r="F7" s="6">
        <v>5</v>
      </c>
      <c r="G7" s="6">
        <v>5</v>
      </c>
      <c r="H7" s="6">
        <v>5</v>
      </c>
      <c r="I7" s="6">
        <v>5</v>
      </c>
      <c r="J7" s="6">
        <v>5</v>
      </c>
      <c r="K7" s="6">
        <v>5</v>
      </c>
      <c r="L7" s="6">
        <v>5</v>
      </c>
      <c r="M7" s="6">
        <v>5</v>
      </c>
      <c r="N7" s="6">
        <v>5</v>
      </c>
    </row>
    <row r="8" spans="1:14" x14ac:dyDescent="0.25">
      <c r="A8" s="425"/>
      <c r="B8" s="6">
        <v>50</v>
      </c>
      <c r="C8" s="6">
        <v>7</v>
      </c>
      <c r="D8" s="6">
        <v>7</v>
      </c>
      <c r="E8" s="6">
        <v>7</v>
      </c>
      <c r="F8" s="6">
        <v>7</v>
      </c>
      <c r="G8" s="6">
        <v>7</v>
      </c>
      <c r="H8" s="6">
        <v>7</v>
      </c>
      <c r="I8" s="6">
        <v>7</v>
      </c>
      <c r="J8" s="6">
        <v>7</v>
      </c>
      <c r="K8" s="6">
        <v>7</v>
      </c>
      <c r="L8" s="6">
        <v>7</v>
      </c>
      <c r="M8" s="6">
        <v>7</v>
      </c>
      <c r="N8" s="6">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honeticPr fontId="2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ColWidth="9" defaultRowHeight="14.4" x14ac:dyDescent="0.25"/>
  <sheetData>
    <row r="2" spans="2:4" x14ac:dyDescent="0.25">
      <c r="B2" s="180" t="s">
        <v>513</v>
      </c>
      <c r="C2" s="180" t="s">
        <v>514</v>
      </c>
      <c r="D2" s="180" t="s">
        <v>53</v>
      </c>
    </row>
    <row r="3" spans="2:4" x14ac:dyDescent="0.25">
      <c r="B3" s="2">
        <v>0</v>
      </c>
      <c r="C3" s="2">
        <v>10</v>
      </c>
      <c r="D3" s="180" t="s">
        <v>391</v>
      </c>
    </row>
    <row r="4" spans="2:4" x14ac:dyDescent="0.25">
      <c r="B4" s="2">
        <v>10.1</v>
      </c>
      <c r="C4" s="2">
        <v>20</v>
      </c>
      <c r="D4" s="180" t="s">
        <v>396</v>
      </c>
    </row>
    <row r="5" spans="2:4" x14ac:dyDescent="0.25">
      <c r="B5" s="2">
        <v>20.100000000000001</v>
      </c>
      <c r="C5" s="2">
        <v>35</v>
      </c>
      <c r="D5" s="180" t="s">
        <v>397</v>
      </c>
    </row>
    <row r="6" spans="2:4" x14ac:dyDescent="0.25">
      <c r="B6" s="2">
        <v>35.1</v>
      </c>
      <c r="C6" s="2">
        <v>55</v>
      </c>
      <c r="D6" s="180" t="s">
        <v>399</v>
      </c>
    </row>
    <row r="7" spans="2:4" x14ac:dyDescent="0.25">
      <c r="B7" s="2">
        <v>55.1</v>
      </c>
      <c r="C7" s="2">
        <v>80</v>
      </c>
      <c r="D7" s="180" t="s">
        <v>406</v>
      </c>
    </row>
    <row r="8" spans="2:4" x14ac:dyDescent="0.25">
      <c r="B8" s="2">
        <v>80.099999999999994</v>
      </c>
      <c r="C8" s="2">
        <v>2000</v>
      </c>
      <c r="D8" s="180" t="s">
        <v>407</v>
      </c>
    </row>
  </sheetData>
  <phoneticPr fontId="2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topLeftCell="B1" zoomScale="85" zoomScaleNormal="85" workbookViewId="0">
      <selection activeCell="N13" sqref="N13:Z13"/>
    </sheetView>
  </sheetViews>
  <sheetFormatPr defaultColWidth="9.109375" defaultRowHeight="14.4" x14ac:dyDescent="0.25"/>
  <cols>
    <col min="1" max="1" width="9.109375" style="2"/>
    <col min="2" max="2" width="18.33203125" style="2" customWidth="1"/>
    <col min="3" max="11" width="9.109375" style="2"/>
    <col min="12" max="13" width="9.109375" style="2" customWidth="1"/>
    <col min="14" max="14" width="15.5546875" style="2" customWidth="1"/>
    <col min="15" max="28" width="9.109375" style="2" customWidth="1"/>
    <col min="29" max="31" width="9.109375" style="2"/>
    <col min="32" max="32" width="13" style="2" customWidth="1"/>
    <col min="33" max="16384" width="9.109375" style="2"/>
  </cols>
  <sheetData>
    <row r="1" spans="1:26" x14ac:dyDescent="0.25">
      <c r="D1" s="2">
        <v>111</v>
      </c>
      <c r="E1" s="2">
        <v>112</v>
      </c>
      <c r="F1" s="2">
        <v>212</v>
      </c>
      <c r="G1" s="2">
        <v>211</v>
      </c>
      <c r="H1" s="2">
        <v>121</v>
      </c>
      <c r="I1" s="2">
        <v>122</v>
      </c>
      <c r="J1" s="2">
        <v>221</v>
      </c>
      <c r="K1" s="2">
        <v>222</v>
      </c>
    </row>
    <row r="2" spans="1:26" x14ac:dyDescent="0.25">
      <c r="B2" s="2" t="s">
        <v>291</v>
      </c>
      <c r="D2" s="2">
        <v>1</v>
      </c>
      <c r="E2" s="2">
        <v>2</v>
      </c>
      <c r="F2" s="2">
        <v>3</v>
      </c>
      <c r="G2" s="2">
        <v>4</v>
      </c>
      <c r="H2" s="2">
        <v>5</v>
      </c>
      <c r="I2" s="2">
        <v>6</v>
      </c>
      <c r="J2" s="2">
        <v>7</v>
      </c>
      <c r="K2" s="2">
        <v>8</v>
      </c>
      <c r="N2" s="2" t="s">
        <v>515</v>
      </c>
      <c r="O2" s="171" t="s">
        <v>13</v>
      </c>
      <c r="P2" s="171" t="s">
        <v>14</v>
      </c>
      <c r="Q2" s="171" t="s">
        <v>18</v>
      </c>
      <c r="R2" s="171" t="s">
        <v>19</v>
      </c>
      <c r="S2" s="171" t="s">
        <v>3</v>
      </c>
      <c r="T2" s="171" t="s">
        <v>4</v>
      </c>
      <c r="U2" s="171" t="s">
        <v>8</v>
      </c>
      <c r="V2" s="171" t="s">
        <v>9</v>
      </c>
    </row>
    <row r="3" spans="1:26" x14ac:dyDescent="0.25">
      <c r="A3" s="2">
        <v>9</v>
      </c>
      <c r="B3" s="2" t="s">
        <v>516</v>
      </c>
      <c r="D3" s="2">
        <f>'Phase calculation'!D83</f>
        <v>0</v>
      </c>
      <c r="E3" s="2">
        <f>'Phase calculation'!E83</f>
        <v>44</v>
      </c>
      <c r="F3" s="2">
        <f>'Phase calculation'!F83</f>
        <v>0</v>
      </c>
      <c r="G3" s="2">
        <f>'Phase calculation'!G83</f>
        <v>36</v>
      </c>
      <c r="H3" s="2">
        <f>'Phase calculation'!D84</f>
        <v>0</v>
      </c>
      <c r="I3" s="2">
        <f>'Phase calculation'!E84</f>
        <v>44</v>
      </c>
      <c r="J3" s="2">
        <f>'Phase calculation'!F84</f>
        <v>0</v>
      </c>
      <c r="K3" s="2">
        <f>'Phase calculation'!G84</f>
        <v>36</v>
      </c>
      <c r="N3" s="2" t="s">
        <v>517</v>
      </c>
      <c r="P3" s="2">
        <f>IF('Summary sheet'!U15=0,0,MAX(30,12*'Summary sheet'!U15+12))</f>
        <v>108</v>
      </c>
      <c r="R3" s="2">
        <f>IF('Summary sheet'!AA15=0,0,MAX(30,12*'Summary sheet'!AA15+12))</f>
        <v>108</v>
      </c>
      <c r="T3" s="2">
        <f>IF('Summary sheet'!Z17=0,0,MAX(30,12*'Summary sheet'!Z17+12))</f>
        <v>84</v>
      </c>
      <c r="V3" s="2">
        <f>IF('Summary sheet'!Z4=0,0,MAX(30,12*'Summary sheet'!Z4+12))</f>
        <v>84</v>
      </c>
    </row>
    <row r="4" spans="1:26" x14ac:dyDescent="0.25">
      <c r="B4" s="2" t="s">
        <v>113</v>
      </c>
      <c r="D4" s="2" t="str">
        <f>'Phase designation'!L41</f>
        <v/>
      </c>
      <c r="E4" s="2" t="str">
        <f>'Phase designation'!M41</f>
        <v>NBT</v>
      </c>
      <c r="F4" s="2" t="str">
        <f>'Phase designation'!N41</f>
        <v/>
      </c>
      <c r="G4" s="2" t="str">
        <f>'Phase designation'!O41</f>
        <v>EBT</v>
      </c>
      <c r="H4" s="2" t="str">
        <f>'Phase designation'!L42</f>
        <v/>
      </c>
      <c r="I4" s="2" t="str">
        <f>'Phase designation'!M42</f>
        <v>SBT</v>
      </c>
      <c r="J4" s="2" t="str">
        <f>'Phase designation'!N42</f>
        <v/>
      </c>
      <c r="K4" s="2" t="str">
        <f>'Phase designation'!O42</f>
        <v>WBT</v>
      </c>
      <c r="N4" s="2" t="s">
        <v>518</v>
      </c>
      <c r="P4" s="2">
        <f>MAX(Sheet1!N11:P11)</f>
        <v>40</v>
      </c>
      <c r="R4" s="2">
        <f>MAX(Sheet1!S11:U11)</f>
        <v>40</v>
      </c>
      <c r="T4" s="2">
        <f>MAX(Sheet1!C11:F11,Sheet1!W11:AB11)</f>
        <v>30</v>
      </c>
      <c r="V4" s="2">
        <f>MAX(Sheet1!I11:K11,Sheet1!AC11:AH11)</f>
        <v>30</v>
      </c>
    </row>
    <row r="5" spans="1:26" x14ac:dyDescent="0.25">
      <c r="B5" s="2" t="s">
        <v>43</v>
      </c>
      <c r="E5" s="2">
        <f>IF(E4="",0,INDEX($O$6:$V$6,1,E6))</f>
        <v>30</v>
      </c>
      <c r="G5" s="2">
        <f>IF(G4="",0,INDEX($O$6:$V$6,1,G6))</f>
        <v>40</v>
      </c>
      <c r="I5" s="2">
        <f>IF(I4="",0,INDEX($O$6:$V$6,1,I6))</f>
        <v>30</v>
      </c>
      <c r="K5" s="2">
        <f>IF(K4="",0,INDEX($O$6:$V$6,1,K6))</f>
        <v>40</v>
      </c>
    </row>
    <row r="6" spans="1:26" x14ac:dyDescent="0.25">
      <c r="B6" s="2" t="s">
        <v>519</v>
      </c>
      <c r="D6" s="2">
        <f t="shared" ref="D6:K6" si="0">IF(D4="",0,MATCH(D4,$O$2:$V$2,0))</f>
        <v>0</v>
      </c>
      <c r="E6" s="2">
        <f t="shared" si="0"/>
        <v>6</v>
      </c>
      <c r="F6" s="2">
        <f t="shared" si="0"/>
        <v>0</v>
      </c>
      <c r="G6" s="2">
        <f t="shared" si="0"/>
        <v>2</v>
      </c>
      <c r="H6" s="2">
        <f t="shared" si="0"/>
        <v>0</v>
      </c>
      <c r="I6" s="2">
        <f t="shared" si="0"/>
        <v>8</v>
      </c>
      <c r="J6" s="2">
        <f t="shared" si="0"/>
        <v>0</v>
      </c>
      <c r="K6" s="2">
        <f t="shared" si="0"/>
        <v>4</v>
      </c>
      <c r="N6" s="2" t="s">
        <v>520</v>
      </c>
      <c r="P6" s="2">
        <f>IF(P4&lt;25,25,ROUNDDOWN(P4/5,0)*5)</f>
        <v>40</v>
      </c>
      <c r="R6" s="2">
        <f>IF(R4&lt;25,25,ROUNDDOWN(R4/5,0)*5)</f>
        <v>40</v>
      </c>
      <c r="T6" s="2">
        <f>IF(T4&lt;25,25,ROUNDDOWN(T4/5,0)*5)</f>
        <v>30</v>
      </c>
      <c r="V6" s="2">
        <f>IF(V4&lt;25,25,ROUNDDOWN(V4/5,0)*5)</f>
        <v>30</v>
      </c>
    </row>
    <row r="7" spans="1:26" x14ac:dyDescent="0.25">
      <c r="B7" s="2" t="s">
        <v>96</v>
      </c>
      <c r="D7" s="2">
        <f>IF(D6=0,0,INDEX($O$8:$V$8,1,D6))</f>
        <v>0</v>
      </c>
      <c r="E7" s="2">
        <f t="shared" ref="E7:K7" si="1">IF(E6=0,0,INDEX($O$8:$V$8,1,E6))</f>
        <v>3.2</v>
      </c>
      <c r="F7" s="2">
        <f t="shared" si="1"/>
        <v>0</v>
      </c>
      <c r="G7" s="2">
        <f t="shared" si="1"/>
        <v>3.9</v>
      </c>
      <c r="H7" s="2">
        <f t="shared" si="1"/>
        <v>0</v>
      </c>
      <c r="I7" s="2">
        <f t="shared" si="1"/>
        <v>3.2</v>
      </c>
      <c r="J7" s="2">
        <f t="shared" si="1"/>
        <v>0</v>
      </c>
      <c r="K7" s="2">
        <f t="shared" si="1"/>
        <v>3.9</v>
      </c>
      <c r="N7" s="2" t="s">
        <v>521</v>
      </c>
      <c r="P7" s="2">
        <f>IF(P6=0,0,MATCH(P6,'Y-AllRed'!$A:$A))</f>
        <v>7</v>
      </c>
      <c r="R7" s="2">
        <f>IF(R6=0,0,MATCH(R6,'Y-AllRed'!$A:$A))</f>
        <v>7</v>
      </c>
      <c r="T7" s="2">
        <f>IF(T6=0,0,MATCH(T6,'Y-AllRed'!$A:$A))</f>
        <v>5</v>
      </c>
      <c r="V7" s="2">
        <f>IF(V6=0,0,MATCH(V6,'Y-AllRed'!$A:$A))</f>
        <v>5</v>
      </c>
    </row>
    <row r="8" spans="1:26" x14ac:dyDescent="0.25">
      <c r="B8" s="2" t="s">
        <v>522</v>
      </c>
      <c r="D8" s="2">
        <f>IF(D6=0,0,INDEX($O$11:$V$11,1,D6))</f>
        <v>0</v>
      </c>
      <c r="E8" s="2">
        <f t="shared" ref="E8:K8" si="2">IF(E6=0,0,INDEX($O$11:$V$11,1,E6))</f>
        <v>2.5</v>
      </c>
      <c r="F8" s="2">
        <f t="shared" si="2"/>
        <v>0</v>
      </c>
      <c r="G8" s="2">
        <f t="shared" si="2"/>
        <v>2.2000000000000002</v>
      </c>
      <c r="H8" s="2">
        <f t="shared" si="2"/>
        <v>0</v>
      </c>
      <c r="I8" s="2">
        <f t="shared" si="2"/>
        <v>2.5</v>
      </c>
      <c r="J8" s="2">
        <f t="shared" si="2"/>
        <v>0</v>
      </c>
      <c r="K8" s="2">
        <f t="shared" si="2"/>
        <v>2.2000000000000002</v>
      </c>
      <c r="N8" s="5" t="s">
        <v>96</v>
      </c>
      <c r="O8" s="5">
        <f>P8</f>
        <v>3.9</v>
      </c>
      <c r="P8" s="5">
        <f>IF(P3=0,0,INDEX('Y-AllRed'!$B:$B,Phasing!P7))</f>
        <v>3.9</v>
      </c>
      <c r="Q8" s="5">
        <f>R8</f>
        <v>3.9</v>
      </c>
      <c r="R8" s="5">
        <f>IF(R3=0,0,INDEX('Y-AllRed'!$B:$B,Phasing!R7))</f>
        <v>3.9</v>
      </c>
      <c r="S8" s="5">
        <f>T8</f>
        <v>3.2</v>
      </c>
      <c r="T8" s="5">
        <f>IF(T3=0,0,INDEX('Y-AllRed'!$B:$B,Phasing!T7))</f>
        <v>3.2</v>
      </c>
      <c r="U8" s="5">
        <f>V8</f>
        <v>3.2</v>
      </c>
      <c r="V8" s="5">
        <f>IF(V3=0,0,INDEX('Y-AllRed'!$B:$B,Phasing!V7))</f>
        <v>3.2</v>
      </c>
    </row>
    <row r="9" spans="1:26" x14ac:dyDescent="0.25">
      <c r="B9" s="2" t="s">
        <v>99</v>
      </c>
      <c r="E9" s="2">
        <f>IF(E6=0,0,INDEX($O$22:$V$22,1,E6))</f>
        <v>5</v>
      </c>
      <c r="G9" s="2">
        <f>IF(G6=0,0,INDEX($O$22:$V$22,1,G6))</f>
        <v>5</v>
      </c>
      <c r="I9" s="2">
        <f>IF(I6=0,0,INDEX($O$22:$V$22,1,I6))</f>
        <v>5</v>
      </c>
      <c r="K9" s="2">
        <f>IF(K6=0,0,INDEX($O$22:$V$22,1,K6))</f>
        <v>5</v>
      </c>
      <c r="N9" s="2" t="s">
        <v>523</v>
      </c>
      <c r="P9" s="2">
        <f>P7</f>
        <v>7</v>
      </c>
      <c r="R9" s="2">
        <f>R7</f>
        <v>7</v>
      </c>
      <c r="T9" s="2">
        <f>T7</f>
        <v>5</v>
      </c>
      <c r="V9" s="2">
        <f>V7</f>
        <v>5</v>
      </c>
    </row>
    <row r="10" spans="1:26" x14ac:dyDescent="0.25">
      <c r="B10" s="2" t="s">
        <v>524</v>
      </c>
      <c r="E10" s="2">
        <f>IF(E9=0,0,INDEX($O$19:$V$19,E6))</f>
        <v>31</v>
      </c>
      <c r="G10" s="2">
        <f>IF(G9=0,0,INDEX($O$19:$V$19,G6))</f>
        <v>24</v>
      </c>
      <c r="I10" s="2">
        <f>IF(I9=0,0,INDEX($O$19:$V$19,I6))</f>
        <v>31</v>
      </c>
      <c r="K10" s="2">
        <f>IF(K9=0,0,INDEX($O$19:$V$19,K6))</f>
        <v>24</v>
      </c>
      <c r="N10" s="2" t="s">
        <v>525</v>
      </c>
      <c r="P10" s="2">
        <f>IF(P3=0,0,1+MATCH(P3,'Y-AllRed'!$3:$3))</f>
        <v>7</v>
      </c>
      <c r="R10" s="2">
        <f>IF(R3=0,0,1+MATCH(R3,'Y-AllRed'!$3:$3))</f>
        <v>7</v>
      </c>
      <c r="T10" s="2">
        <f>IF(T3=0,0,1+MATCH(T3,'Y-AllRed'!$3:$3))</f>
        <v>6</v>
      </c>
      <c r="V10" s="2">
        <f>IF(V3=0,0,1+MATCH(V3,'Y-AllRed'!$3:$3))</f>
        <v>6</v>
      </c>
    </row>
    <row r="11" spans="1:26" x14ac:dyDescent="0.25">
      <c r="B11" s="2" t="s">
        <v>526</v>
      </c>
      <c r="D11" s="2">
        <f>IF(D4="",0,5)</f>
        <v>0</v>
      </c>
      <c r="E11" s="2">
        <f>IF(E5&gt;40,15,10)</f>
        <v>10</v>
      </c>
      <c r="F11" s="2">
        <f>IF(F4="",0,5)</f>
        <v>0</v>
      </c>
      <c r="G11" s="2">
        <f>IF(G5&gt;40,15,10)</f>
        <v>10</v>
      </c>
      <c r="H11" s="2">
        <f>IF(H4="",0,5)</f>
        <v>0</v>
      </c>
      <c r="I11" s="2">
        <f>IF(I5&gt;40,15,10)</f>
        <v>10</v>
      </c>
      <c r="J11" s="2">
        <f>IF(J4="",0,5)</f>
        <v>0</v>
      </c>
      <c r="K11" s="2">
        <f>IF(K5&gt;40,15,10)</f>
        <v>10</v>
      </c>
      <c r="N11" s="8" t="s">
        <v>97</v>
      </c>
      <c r="O11" s="8">
        <f>P11</f>
        <v>2.2000000000000002</v>
      </c>
      <c r="P11" s="8">
        <f>INDEX('Y-AllRed'!1:1048576,Phasing!P9,Phasing!P10)</f>
        <v>2.2000000000000002</v>
      </c>
      <c r="Q11" s="8">
        <f>R11</f>
        <v>2.2000000000000002</v>
      </c>
      <c r="R11" s="8">
        <f>INDEX('Y-AllRed'!1:1048576,Phasing!R9,Phasing!R10)</f>
        <v>2.2000000000000002</v>
      </c>
      <c r="S11" s="8">
        <f>T11</f>
        <v>2.5</v>
      </c>
      <c r="T11" s="8">
        <f>INDEX('Y-AllRed'!1:1048576,Phasing!T9,Phasing!T10)</f>
        <v>2.5</v>
      </c>
      <c r="U11" s="8">
        <f>V11</f>
        <v>2.5</v>
      </c>
      <c r="V11" s="8">
        <f>INDEX('Y-AllRed'!1:1048576,Phasing!V9,Phasing!V10)</f>
        <v>2.5</v>
      </c>
    </row>
    <row r="12" spans="1:26" x14ac:dyDescent="0.25">
      <c r="B12" s="2" t="s">
        <v>527</v>
      </c>
      <c r="D12" s="57">
        <f>IF(D4="",0,ROUNDUP(INDEX($O$16:$V$16,D6),0))</f>
        <v>0</v>
      </c>
      <c r="E12" s="57">
        <f t="shared" ref="E12:K12" si="3">IF(E4="",0,ROUNDUP(INDEX($O$16:$V$16,E6),0))</f>
        <v>39</v>
      </c>
      <c r="F12" s="57">
        <f t="shared" si="3"/>
        <v>0</v>
      </c>
      <c r="G12" s="57">
        <f t="shared" si="3"/>
        <v>30</v>
      </c>
      <c r="H12" s="57">
        <f t="shared" si="3"/>
        <v>0</v>
      </c>
      <c r="I12" s="57">
        <f t="shared" si="3"/>
        <v>39</v>
      </c>
      <c r="J12" s="57">
        <f t="shared" si="3"/>
        <v>0</v>
      </c>
      <c r="K12" s="57">
        <f t="shared" si="3"/>
        <v>30</v>
      </c>
      <c r="L12" s="57"/>
    </row>
    <row r="13" spans="1:26" x14ac:dyDescent="0.25">
      <c r="N13" s="2" t="s">
        <v>89</v>
      </c>
      <c r="O13" s="2">
        <v>1</v>
      </c>
      <c r="P13" s="2">
        <v>20</v>
      </c>
      <c r="Q13" s="2">
        <v>25</v>
      </c>
      <c r="R13" s="2">
        <v>30</v>
      </c>
      <c r="S13" s="2">
        <v>35</v>
      </c>
      <c r="T13" s="2">
        <v>40</v>
      </c>
      <c r="U13" s="2">
        <v>45</v>
      </c>
      <c r="V13" s="2">
        <v>50</v>
      </c>
      <c r="W13" s="2">
        <v>55</v>
      </c>
      <c r="X13" s="2">
        <v>60</v>
      </c>
      <c r="Y13" s="2">
        <v>65</v>
      </c>
      <c r="Z13" s="2">
        <v>70</v>
      </c>
    </row>
    <row r="14" spans="1:26" x14ac:dyDescent="0.25">
      <c r="B14" s="2" t="s">
        <v>92</v>
      </c>
      <c r="D14" s="2">
        <f>IF(D3=0,0,10)</f>
        <v>0</v>
      </c>
      <c r="E14" s="2">
        <f t="shared" ref="E14:K14" si="4">IF(E3=0,0,10)</f>
        <v>10</v>
      </c>
      <c r="F14" s="2">
        <f t="shared" si="4"/>
        <v>0</v>
      </c>
      <c r="G14" s="2">
        <f t="shared" si="4"/>
        <v>10</v>
      </c>
      <c r="H14" s="2">
        <f t="shared" si="4"/>
        <v>0</v>
      </c>
      <c r="I14" s="2">
        <f t="shared" si="4"/>
        <v>10</v>
      </c>
      <c r="J14" s="2">
        <f t="shared" si="4"/>
        <v>0</v>
      </c>
      <c r="K14" s="2">
        <f t="shared" si="4"/>
        <v>10</v>
      </c>
      <c r="N14" s="2" t="s">
        <v>94</v>
      </c>
      <c r="O14" s="2">
        <v>8</v>
      </c>
      <c r="P14" s="2">
        <v>8</v>
      </c>
      <c r="Q14" s="2">
        <v>10</v>
      </c>
      <c r="R14" s="2">
        <v>13</v>
      </c>
      <c r="S14" s="2">
        <v>15</v>
      </c>
      <c r="T14" s="2">
        <v>18</v>
      </c>
      <c r="U14" s="2">
        <v>20</v>
      </c>
      <c r="V14" s="2">
        <v>23</v>
      </c>
      <c r="W14" s="2">
        <v>25</v>
      </c>
      <c r="X14" s="2">
        <v>28</v>
      </c>
      <c r="Y14" s="2">
        <v>30</v>
      </c>
      <c r="Z14" s="2">
        <v>33</v>
      </c>
    </row>
    <row r="15" spans="1:26" x14ac:dyDescent="0.25">
      <c r="B15" s="2" t="s">
        <v>94</v>
      </c>
      <c r="D15" s="2">
        <f>IF(D3=0,0,INDEX($O$14:$Z$14,1,O17))</f>
        <v>0</v>
      </c>
      <c r="E15" s="2">
        <f t="shared" ref="E15:K15" si="5">IF(E3=0,0,INDEX($O$14:$Z$14,1,P17))</f>
        <v>10</v>
      </c>
      <c r="F15" s="2">
        <f t="shared" si="5"/>
        <v>0</v>
      </c>
      <c r="G15" s="2">
        <f t="shared" si="5"/>
        <v>10</v>
      </c>
      <c r="H15" s="2">
        <f t="shared" si="5"/>
        <v>0</v>
      </c>
      <c r="I15" s="2">
        <f t="shared" si="5"/>
        <v>15</v>
      </c>
      <c r="J15" s="2">
        <f t="shared" si="5"/>
        <v>0</v>
      </c>
      <c r="K15" s="2">
        <f t="shared" si="5"/>
        <v>15</v>
      </c>
      <c r="O15" s="2">
        <v>1</v>
      </c>
      <c r="P15" s="2">
        <v>2</v>
      </c>
      <c r="Q15" s="2">
        <v>3</v>
      </c>
      <c r="R15" s="2">
        <v>4</v>
      </c>
      <c r="S15" s="2">
        <v>5</v>
      </c>
      <c r="T15" s="2">
        <v>6</v>
      </c>
      <c r="U15" s="2">
        <v>7</v>
      </c>
      <c r="V15" s="2">
        <v>8</v>
      </c>
    </row>
    <row r="16" spans="1:26" x14ac:dyDescent="0.25">
      <c r="B16" s="2" t="s">
        <v>528</v>
      </c>
      <c r="D16" s="2">
        <f>IF(D4="",0,INDEX($O$28:$V$28,D6))</f>
        <v>0</v>
      </c>
      <c r="E16" s="2">
        <f t="shared" ref="E16:K16" si="6">IF(E4="",0,INDEX($O$28:$V$28,E6))</f>
        <v>0</v>
      </c>
      <c r="F16" s="2">
        <f t="shared" si="6"/>
        <v>0</v>
      </c>
      <c r="G16" s="2">
        <f t="shared" si="6"/>
        <v>0.3</v>
      </c>
      <c r="H16" s="2">
        <f t="shared" si="6"/>
        <v>0</v>
      </c>
      <c r="I16" s="2">
        <f t="shared" si="6"/>
        <v>0</v>
      </c>
      <c r="J16" s="2">
        <f t="shared" si="6"/>
        <v>0</v>
      </c>
      <c r="K16" s="2">
        <f t="shared" si="6"/>
        <v>0.3</v>
      </c>
      <c r="N16" s="2" t="s">
        <v>527</v>
      </c>
      <c r="O16" s="172">
        <f>'Phase calculation'!D29</f>
        <v>80</v>
      </c>
      <c r="P16" s="172">
        <f>'Phase calculation'!E29</f>
        <v>29.900000000000002</v>
      </c>
      <c r="Q16" s="172">
        <f>'Phase calculation'!G29</f>
        <v>80</v>
      </c>
      <c r="R16" s="172">
        <f>'Phase calculation'!H29</f>
        <v>29.900000000000002</v>
      </c>
      <c r="S16" s="172">
        <f>'Phase calculation'!J29</f>
        <v>80</v>
      </c>
      <c r="T16" s="172">
        <f>'Phase calculation'!K29</f>
        <v>38.299999999999997</v>
      </c>
      <c r="U16" s="172">
        <f>'Phase calculation'!M29</f>
        <v>80</v>
      </c>
      <c r="V16" s="172">
        <f>'Phase calculation'!N29</f>
        <v>38.299999999999997</v>
      </c>
    </row>
    <row r="17" spans="1:32" x14ac:dyDescent="0.25">
      <c r="B17" s="2" t="s">
        <v>91</v>
      </c>
      <c r="D17" s="2">
        <f>IF(D4="",0,INDEX($O$27:$V$27,D6))</f>
        <v>0</v>
      </c>
      <c r="E17" s="2">
        <f t="shared" ref="E17:K17" si="7">IF(E4="",0,INDEX($O$27:$V$27,E6))</f>
        <v>2</v>
      </c>
      <c r="F17" s="2">
        <f t="shared" si="7"/>
        <v>0</v>
      </c>
      <c r="G17" s="2">
        <f t="shared" si="7"/>
        <v>2.2999999999999998</v>
      </c>
      <c r="H17" s="2">
        <f t="shared" si="7"/>
        <v>0</v>
      </c>
      <c r="I17" s="2">
        <f t="shared" si="7"/>
        <v>2</v>
      </c>
      <c r="J17" s="2">
        <f t="shared" si="7"/>
        <v>0</v>
      </c>
      <c r="K17" s="2">
        <f t="shared" si="7"/>
        <v>2.2999999999999998</v>
      </c>
      <c r="N17" s="2" t="s">
        <v>529</v>
      </c>
      <c r="O17" s="2">
        <f>IF(O16=0,0,MATCH(O16,$O$13:$Z$13,1))</f>
        <v>12</v>
      </c>
      <c r="P17" s="2">
        <f t="shared" ref="P17:V17" si="8">IF(P16=0,0,MATCH(P16,$O$13:$Z$13,1))</f>
        <v>3</v>
      </c>
      <c r="Q17" s="2">
        <f t="shared" si="8"/>
        <v>12</v>
      </c>
      <c r="R17" s="2">
        <f t="shared" si="8"/>
        <v>3</v>
      </c>
      <c r="S17" s="2">
        <f t="shared" si="8"/>
        <v>12</v>
      </c>
      <c r="T17" s="2">
        <f t="shared" si="8"/>
        <v>5</v>
      </c>
      <c r="U17" s="2">
        <f t="shared" si="8"/>
        <v>12</v>
      </c>
      <c r="V17" s="2">
        <f t="shared" si="8"/>
        <v>5</v>
      </c>
    </row>
    <row r="18" spans="1:32" x14ac:dyDescent="0.25">
      <c r="B18" s="2" t="s">
        <v>102</v>
      </c>
      <c r="D18" s="2">
        <f>IF(D4="",0,9)</f>
        <v>0</v>
      </c>
      <c r="E18" s="2">
        <f>IF(E9=0,ROUNDUP(E11+E7+E8,0),ROUNDUP(E9+E10+E7+E8,0))</f>
        <v>42</v>
      </c>
      <c r="F18" s="2">
        <f>IF(F4="",0,9)</f>
        <v>0</v>
      </c>
      <c r="G18" s="2">
        <f>IF(G9=0,ROUNDUP(G11+G7+G8,0),ROUNDUP(G9+G10+G7+G8,0))</f>
        <v>36</v>
      </c>
      <c r="H18" s="2">
        <f>IF(H4="",0,9)</f>
        <v>0</v>
      </c>
      <c r="I18" s="2">
        <f>IF(I9=0,ROUNDUP(I11+I7+I8,0),ROUNDUP(I9+I10+I7+I8,0))</f>
        <v>42</v>
      </c>
      <c r="J18" s="2">
        <f>IF(J4="",0,9)</f>
        <v>0</v>
      </c>
      <c r="K18" s="2">
        <f>IF(K9=0,ROUNDUP(K11+K7+K8,0),ROUNDUP(K9+K10+K7+K8,0))</f>
        <v>36</v>
      </c>
      <c r="N18" s="2" t="s">
        <v>530</v>
      </c>
      <c r="P18" s="2">
        <f>IF(E4="",0,MATCH(E4,$O$2:$V$2,0))</f>
        <v>6</v>
      </c>
      <c r="R18" s="2">
        <f>IF(G4="",0,MATCH(G4,$O$2:$V$2,0))</f>
        <v>2</v>
      </c>
      <c r="T18" s="2">
        <f>IF(I4="",0,MATCH(I4,$O$2:$V$2,0))</f>
        <v>8</v>
      </c>
      <c r="V18" s="2">
        <f>IF(K4="",0,MATCH(K4,$O$2:$V$2,0))</f>
        <v>4</v>
      </c>
    </row>
    <row r="19" spans="1:32" x14ac:dyDescent="0.25">
      <c r="B19" s="2" t="s">
        <v>105</v>
      </c>
      <c r="D19" s="2">
        <v>0</v>
      </c>
      <c r="E19" s="2">
        <f>IF(D3=0,0,D20)</f>
        <v>0</v>
      </c>
      <c r="F19" s="2">
        <f>E20</f>
        <v>44</v>
      </c>
      <c r="G19" s="2">
        <f>F20</f>
        <v>44</v>
      </c>
      <c r="H19" s="2">
        <v>0</v>
      </c>
      <c r="I19" s="2">
        <f>IF(H3=0,0,H20)</f>
        <v>0</v>
      </c>
      <c r="J19" s="2">
        <f>I20</f>
        <v>44</v>
      </c>
      <c r="K19" s="2">
        <f>J20</f>
        <v>44</v>
      </c>
      <c r="N19" s="2" t="s">
        <v>100</v>
      </c>
      <c r="P19" s="2">
        <f>ROUND(T3/'Input sheet'!$V$10,0)</f>
        <v>24</v>
      </c>
      <c r="R19" s="2">
        <f>ROUND(V3/'Input sheet'!$V$10,0)</f>
        <v>24</v>
      </c>
      <c r="T19" s="2">
        <f>ROUND(R3/'Input sheet'!$V$10,0)</f>
        <v>31</v>
      </c>
      <c r="V19" s="2">
        <f>ROUND(P3/'Input sheet'!$V$10,0)</f>
        <v>31</v>
      </c>
    </row>
    <row r="20" spans="1:32" x14ac:dyDescent="0.25">
      <c r="B20" s="2" t="s">
        <v>106</v>
      </c>
      <c r="D20" s="2">
        <f t="shared" ref="D20:K20" si="9">D19+D3</f>
        <v>0</v>
      </c>
      <c r="E20" s="2">
        <f t="shared" si="9"/>
        <v>44</v>
      </c>
      <c r="F20" s="2">
        <f t="shared" si="9"/>
        <v>44</v>
      </c>
      <c r="G20" s="2">
        <f t="shared" si="9"/>
        <v>80</v>
      </c>
      <c r="H20" s="2">
        <f t="shared" si="9"/>
        <v>0</v>
      </c>
      <c r="I20" s="2">
        <f t="shared" si="9"/>
        <v>44</v>
      </c>
      <c r="J20" s="2">
        <f t="shared" si="9"/>
        <v>44</v>
      </c>
      <c r="K20" s="2">
        <f t="shared" si="9"/>
        <v>80</v>
      </c>
      <c r="N20" s="2" t="s">
        <v>531</v>
      </c>
      <c r="P20" s="2">
        <v>4</v>
      </c>
      <c r="R20" s="2">
        <v>4</v>
      </c>
      <c r="T20" s="2">
        <v>4</v>
      </c>
      <c r="V20" s="2">
        <v>4</v>
      </c>
    </row>
    <row r="21" spans="1:32" x14ac:dyDescent="0.25">
      <c r="B21" s="2" t="s">
        <v>107</v>
      </c>
      <c r="D21" s="2">
        <f>ROUND(IF(D3=0,0,D20-D7-D8),0)</f>
        <v>0</v>
      </c>
      <c r="E21" s="2">
        <f t="shared" ref="E21:K21" si="10">ROUND(IF(E3=0,0,E20-E7-E8),0)</f>
        <v>38</v>
      </c>
      <c r="F21" s="2">
        <f t="shared" si="10"/>
        <v>0</v>
      </c>
      <c r="G21" s="2">
        <f t="shared" si="10"/>
        <v>74</v>
      </c>
      <c r="H21" s="2">
        <f t="shared" si="10"/>
        <v>0</v>
      </c>
      <c r="I21" s="2">
        <f t="shared" si="10"/>
        <v>38</v>
      </c>
      <c r="J21" s="2">
        <f t="shared" si="10"/>
        <v>0</v>
      </c>
      <c r="K21" s="2">
        <f t="shared" si="10"/>
        <v>74</v>
      </c>
      <c r="N21" s="2" t="s">
        <v>532</v>
      </c>
      <c r="P21" s="2">
        <f>IF(E9=0,0,MIN(ROUNDDOWN(E3-E7-E8-E9,0),ROUNDUP(E9+P19+E7+E8,0)))</f>
        <v>33</v>
      </c>
      <c r="R21" s="2">
        <f>IF(G9=0,0,MIN(ROUNDDOWN(G3-G7-G8-G9,0),ROUNDUP(G9+R19+G7+G8,0)))</f>
        <v>24</v>
      </c>
      <c r="T21" s="2">
        <f>IF(I9=0,0,MIN(ROUNDDOWN(I3-I7-I8-I9,0),ROUNDUP(I9+T19+I7+I8,0)))</f>
        <v>33</v>
      </c>
      <c r="V21" s="2">
        <f>IF(K9=0,0,MIN(ROUNDDOWN(K3-K7-K8-K9,0),ROUNDUP(K9+V19+K7+K8,0)))</f>
        <v>24</v>
      </c>
    </row>
    <row r="22" spans="1:32" x14ac:dyDescent="0.25">
      <c r="B22" s="2" t="s">
        <v>108</v>
      </c>
      <c r="D22" s="2">
        <f>D21</f>
        <v>0</v>
      </c>
      <c r="E22" s="2">
        <f t="shared" ref="E22:K22" si="11">E21</f>
        <v>38</v>
      </c>
      <c r="F22" s="2">
        <f t="shared" si="11"/>
        <v>0</v>
      </c>
      <c r="G22" s="2">
        <f t="shared" si="11"/>
        <v>74</v>
      </c>
      <c r="H22" s="2">
        <f t="shared" si="11"/>
        <v>0</v>
      </c>
      <c r="I22" s="2">
        <f t="shared" si="11"/>
        <v>38</v>
      </c>
      <c r="J22" s="2">
        <f t="shared" si="11"/>
        <v>0</v>
      </c>
      <c r="K22" s="2">
        <f t="shared" si="11"/>
        <v>74</v>
      </c>
      <c r="N22" s="2" t="s">
        <v>99</v>
      </c>
      <c r="P22" s="2">
        <f>IF('Input sheet'!T2=1,5,0)</f>
        <v>5</v>
      </c>
      <c r="R22" s="2">
        <f>IF('Input sheet'!V2=1,5,0)</f>
        <v>5</v>
      </c>
      <c r="T22" s="2">
        <f>IF('Input sheet'!U2=1,5,0)</f>
        <v>5</v>
      </c>
      <c r="V22" s="2">
        <f>IF('Input sheet'!W2=1,5,0)</f>
        <v>5</v>
      </c>
    </row>
    <row r="23" spans="1:32" x14ac:dyDescent="0.25">
      <c r="B23" s="2" t="s">
        <v>109</v>
      </c>
      <c r="D23" s="2">
        <f>D19</f>
        <v>0</v>
      </c>
      <c r="E23" s="2">
        <f t="shared" ref="E23:K23" si="12">E19</f>
        <v>0</v>
      </c>
      <c r="F23" s="2">
        <f t="shared" si="12"/>
        <v>44</v>
      </c>
      <c r="G23" s="2">
        <f t="shared" si="12"/>
        <v>44</v>
      </c>
      <c r="H23" s="2">
        <f t="shared" si="12"/>
        <v>0</v>
      </c>
      <c r="I23" s="2">
        <f t="shared" si="12"/>
        <v>0</v>
      </c>
      <c r="J23" s="2">
        <f t="shared" si="12"/>
        <v>44</v>
      </c>
      <c r="K23" s="2">
        <f t="shared" si="12"/>
        <v>44</v>
      </c>
      <c r="N23" s="2" t="s">
        <v>533</v>
      </c>
      <c r="P23" s="2">
        <f>IF(P6&lt;=25,3,3.5)</f>
        <v>3.5</v>
      </c>
      <c r="R23" s="2">
        <f>IF(R6&lt;=25,3,3.5)</f>
        <v>3.5</v>
      </c>
      <c r="T23" s="2">
        <f>IF(T6&lt;=25,3,3.5)</f>
        <v>3.5</v>
      </c>
      <c r="V23" s="2">
        <f>IF(V6&lt;=25,3,3.5)</f>
        <v>3.5</v>
      </c>
    </row>
    <row r="24" spans="1:32" x14ac:dyDescent="0.25">
      <c r="B24" s="2" t="s">
        <v>110</v>
      </c>
      <c r="D24" s="2">
        <f>D21</f>
        <v>0</v>
      </c>
      <c r="E24" s="2">
        <f t="shared" ref="E24:K24" si="13">E21</f>
        <v>38</v>
      </c>
      <c r="F24" s="2">
        <f t="shared" si="13"/>
        <v>0</v>
      </c>
      <c r="G24" s="2">
        <f t="shared" si="13"/>
        <v>74</v>
      </c>
      <c r="H24" s="2">
        <f t="shared" si="13"/>
        <v>0</v>
      </c>
      <c r="I24" s="2">
        <f t="shared" si="13"/>
        <v>38</v>
      </c>
      <c r="J24" s="2">
        <f t="shared" si="13"/>
        <v>0</v>
      </c>
      <c r="K24" s="2">
        <f t="shared" si="13"/>
        <v>74</v>
      </c>
      <c r="N24" s="2" t="s">
        <v>534</v>
      </c>
      <c r="P24" s="2">
        <f>VLOOKUP(P6,DetZone!$G$4:$H$10,2,FALSE)</f>
        <v>70</v>
      </c>
      <c r="R24" s="2">
        <f>VLOOKUP(R6,DetZone!$G$4:$H$10,2,FALSE)</f>
        <v>70</v>
      </c>
      <c r="T24" s="2">
        <f>VLOOKUP(T6,DetZone!$G$4:$H$10,2,FALSE)</f>
        <v>60</v>
      </c>
      <c r="V24" s="2">
        <f>VLOOKUP(V6,DetZone!$G$4:$H$10,2,FALSE)</f>
        <v>60</v>
      </c>
    </row>
    <row r="25" spans="1:32" x14ac:dyDescent="0.25">
      <c r="B25" s="2" t="s">
        <v>111</v>
      </c>
      <c r="D25" s="2">
        <f>D24</f>
        <v>0</v>
      </c>
      <c r="E25" s="2">
        <f t="shared" ref="E25:K25" si="14">E24</f>
        <v>38</v>
      </c>
      <c r="F25" s="2">
        <f t="shared" si="14"/>
        <v>0</v>
      </c>
      <c r="G25" s="2">
        <f t="shared" si="14"/>
        <v>74</v>
      </c>
      <c r="H25" s="2">
        <f t="shared" si="14"/>
        <v>0</v>
      </c>
      <c r="I25" s="2">
        <f t="shared" si="14"/>
        <v>38</v>
      </c>
      <c r="J25" s="2">
        <f t="shared" si="14"/>
        <v>0</v>
      </c>
      <c r="K25" s="2">
        <f t="shared" si="14"/>
        <v>74</v>
      </c>
      <c r="N25" s="2" t="s">
        <v>535</v>
      </c>
      <c r="P25" s="2">
        <f>MATCH(P24,DetZone!$B$18:$B$22,0)</f>
        <v>4</v>
      </c>
      <c r="R25" s="2">
        <f>MATCH(R24,DetZone!$B$18:$B$22,0)</f>
        <v>4</v>
      </c>
      <c r="T25" s="2">
        <f>MATCH(T24,DetZone!$B$18:$B$22,0)</f>
        <v>2</v>
      </c>
      <c r="V25" s="2">
        <f>MATCH(V24,DetZone!$B$18:$B$22,0)</f>
        <v>2</v>
      </c>
    </row>
    <row r="26" spans="1:32" x14ac:dyDescent="0.25">
      <c r="G26" s="6" t="s">
        <v>536</v>
      </c>
      <c r="K26" s="6" t="s">
        <v>537</v>
      </c>
      <c r="L26" s="81" t="s">
        <v>294</v>
      </c>
      <c r="N26" s="2" t="s">
        <v>538</v>
      </c>
      <c r="P26" s="2">
        <f>MATCH(P6,DetZone!$C$17:$I$17,0)</f>
        <v>4</v>
      </c>
      <c r="R26" s="2">
        <f>MATCH(R6,DetZone!$C$17:$I$17,0)</f>
        <v>4</v>
      </c>
      <c r="T26" s="2">
        <f>MATCH(T6,DetZone!$C$17:$I$17,0)</f>
        <v>2</v>
      </c>
      <c r="V26" s="2">
        <f>MATCH(V6,DetZone!$C$17:$I$17,0)</f>
        <v>2</v>
      </c>
    </row>
    <row r="27" spans="1:32" x14ac:dyDescent="0.25">
      <c r="G27" s="6">
        <f>MAX(D43+E43,H43+I43)</f>
        <v>42</v>
      </c>
      <c r="K27" s="6">
        <f>MAX(F43+G43,J43+K43)</f>
        <v>36</v>
      </c>
      <c r="L27" s="81">
        <f>G27+K27</f>
        <v>78</v>
      </c>
      <c r="N27" s="43" t="s">
        <v>91</v>
      </c>
      <c r="O27" s="43">
        <f>P27</f>
        <v>2.2999999999999998</v>
      </c>
      <c r="P27" s="43">
        <f>INDEX(DetZone!$C$18:$I$22,Phasing!P25,Phasing!P26)</f>
        <v>2.2999999999999998</v>
      </c>
      <c r="Q27" s="43">
        <f>R27</f>
        <v>2.2999999999999998</v>
      </c>
      <c r="R27" s="43">
        <f>INDEX(DetZone!$C$18:$I$22,Phasing!R25,Phasing!R26)</f>
        <v>2.2999999999999998</v>
      </c>
      <c r="S27" s="43">
        <f>T27</f>
        <v>2</v>
      </c>
      <c r="T27" s="43">
        <f>INDEX(DetZone!$C$18:$I$22,Phasing!T25,Phasing!T26)</f>
        <v>2</v>
      </c>
      <c r="U27" s="43">
        <f>V27</f>
        <v>2</v>
      </c>
      <c r="V27" s="43">
        <f>INDEX(DetZone!$C$18:$I$22,Phasing!V25,Phasing!V26)</f>
        <v>2</v>
      </c>
    </row>
    <row r="28" spans="1:32" x14ac:dyDescent="0.25">
      <c r="A28" s="445" t="s">
        <v>162</v>
      </c>
      <c r="B28" s="445"/>
      <c r="C28" s="445"/>
      <c r="N28" s="173" t="s">
        <v>539</v>
      </c>
      <c r="O28" s="173">
        <f>P28</f>
        <v>0.3</v>
      </c>
      <c r="P28" s="173">
        <f>INDEX(DetZone!$C$27:$I$31,Phasing!P25,Phasing!P26)</f>
        <v>0.3</v>
      </c>
      <c r="Q28" s="173">
        <f>R28</f>
        <v>0.3</v>
      </c>
      <c r="R28" s="173">
        <f>INDEX(DetZone!$C$27:$I$31,Phasing!R25,Phasing!R26)</f>
        <v>0.3</v>
      </c>
      <c r="S28" s="173">
        <f>T28</f>
        <v>0</v>
      </c>
      <c r="T28" s="173">
        <f>INDEX(DetZone!$C$27:$I$31,Phasing!T25,Phasing!T26)</f>
        <v>0</v>
      </c>
      <c r="U28" s="173">
        <f>V28</f>
        <v>0</v>
      </c>
      <c r="V28" s="173">
        <f>INDEX(DetZone!$C$27:$I$31,Phasing!V25,Phasing!V26)</f>
        <v>0</v>
      </c>
    </row>
    <row r="29" spans="1:32" x14ac:dyDescent="0.25">
      <c r="B29" s="164" t="s">
        <v>0</v>
      </c>
      <c r="C29" s="164" t="s">
        <v>1</v>
      </c>
      <c r="D29" s="164" t="s">
        <v>540</v>
      </c>
      <c r="E29" s="164" t="s">
        <v>541</v>
      </c>
      <c r="F29" s="164" t="s">
        <v>542</v>
      </c>
      <c r="G29" s="164" t="s">
        <v>543</v>
      </c>
      <c r="H29" s="164" t="s">
        <v>544</v>
      </c>
      <c r="I29" s="164" t="s">
        <v>545</v>
      </c>
      <c r="J29" s="164" t="s">
        <v>546</v>
      </c>
      <c r="K29" s="164" t="s">
        <v>547</v>
      </c>
    </row>
    <row r="30" spans="1:32" x14ac:dyDescent="0.25">
      <c r="B30" s="2" t="s">
        <v>84</v>
      </c>
      <c r="C30" s="2">
        <f>Sheet1!B2</f>
        <v>1</v>
      </c>
      <c r="D30" s="2">
        <f>IF(D3=0,0,D1)</f>
        <v>0</v>
      </c>
      <c r="E30" s="2">
        <f t="shared" ref="E30:K30" si="15">IF(E3=0,0,E1)</f>
        <v>112</v>
      </c>
      <c r="F30" s="2">
        <f t="shared" si="15"/>
        <v>0</v>
      </c>
      <c r="G30" s="2">
        <f t="shared" si="15"/>
        <v>211</v>
      </c>
      <c r="H30" s="2">
        <f t="shared" si="15"/>
        <v>0</v>
      </c>
      <c r="I30" s="2">
        <f t="shared" si="15"/>
        <v>122</v>
      </c>
      <c r="J30" s="2">
        <f t="shared" si="15"/>
        <v>0</v>
      </c>
      <c r="K30" s="2">
        <f t="shared" si="15"/>
        <v>222</v>
      </c>
    </row>
    <row r="31" spans="1:32" x14ac:dyDescent="0.25">
      <c r="B31" s="164" t="s">
        <v>86</v>
      </c>
      <c r="C31" s="164">
        <f>C30</f>
        <v>1</v>
      </c>
      <c r="D31" s="164">
        <f>IF(D4="",0,D11)</f>
        <v>0</v>
      </c>
      <c r="E31" s="164">
        <f t="shared" ref="E31:K31" si="16">IF(E4="",0,E11)</f>
        <v>10</v>
      </c>
      <c r="F31" s="164">
        <f t="shared" si="16"/>
        <v>0</v>
      </c>
      <c r="G31" s="164">
        <f t="shared" si="16"/>
        <v>10</v>
      </c>
      <c r="H31" s="164">
        <f t="shared" si="16"/>
        <v>0</v>
      </c>
      <c r="I31" s="164">
        <f t="shared" si="16"/>
        <v>10</v>
      </c>
      <c r="J31" s="164">
        <f t="shared" si="16"/>
        <v>0</v>
      </c>
      <c r="K31" s="164">
        <f t="shared" si="16"/>
        <v>10</v>
      </c>
      <c r="W31" s="430" t="s">
        <v>548</v>
      </c>
      <c r="X31" s="430"/>
      <c r="Y31" s="430"/>
      <c r="Z31" s="430"/>
      <c r="AA31" s="430"/>
      <c r="AB31" s="430"/>
      <c r="AC31" s="430"/>
      <c r="AD31" s="430"/>
      <c r="AE31" s="430"/>
      <c r="AF31" s="430"/>
    </row>
    <row r="32" spans="1:32" x14ac:dyDescent="0.25">
      <c r="B32" s="2" t="s">
        <v>89</v>
      </c>
      <c r="C32" s="2">
        <f t="shared" ref="C32:C52" si="17">C31</f>
        <v>1</v>
      </c>
      <c r="D32" s="2">
        <f>D12</f>
        <v>0</v>
      </c>
      <c r="E32" s="2">
        <f t="shared" ref="E32:K32" si="18">E12</f>
        <v>39</v>
      </c>
      <c r="F32" s="2">
        <f t="shared" si="18"/>
        <v>0</v>
      </c>
      <c r="G32" s="2">
        <f t="shared" si="18"/>
        <v>30</v>
      </c>
      <c r="H32" s="2">
        <f t="shared" si="18"/>
        <v>0</v>
      </c>
      <c r="I32" s="2">
        <f t="shared" si="18"/>
        <v>39</v>
      </c>
      <c r="J32" s="2">
        <f t="shared" si="18"/>
        <v>0</v>
      </c>
      <c r="K32" s="2">
        <f t="shared" si="18"/>
        <v>30</v>
      </c>
      <c r="W32" s="2" t="s">
        <v>291</v>
      </c>
      <c r="X32" s="2" t="s">
        <v>549</v>
      </c>
      <c r="Y32" s="2" t="s">
        <v>96</v>
      </c>
      <c r="Z32" s="2" t="s">
        <v>550</v>
      </c>
      <c r="AA32" s="2" t="s">
        <v>522</v>
      </c>
      <c r="AB32" s="2" t="s">
        <v>291</v>
      </c>
      <c r="AC32" s="2" t="s">
        <v>551</v>
      </c>
      <c r="AD32" s="2" t="s">
        <v>552</v>
      </c>
      <c r="AE32" s="2" t="s">
        <v>553</v>
      </c>
      <c r="AF32" s="2" t="s">
        <v>554</v>
      </c>
    </row>
    <row r="33" spans="1:32" x14ac:dyDescent="0.25">
      <c r="B33" s="164" t="s">
        <v>91</v>
      </c>
      <c r="C33" s="164">
        <f t="shared" si="17"/>
        <v>1</v>
      </c>
      <c r="D33" s="164">
        <f>IF(D4="",0,D17)</f>
        <v>0</v>
      </c>
      <c r="E33" s="164">
        <f t="shared" ref="E33:K33" si="19">IF(E4="",0,E17)</f>
        <v>2</v>
      </c>
      <c r="F33" s="164">
        <f t="shared" si="19"/>
        <v>0</v>
      </c>
      <c r="G33" s="164">
        <f t="shared" si="19"/>
        <v>2.2999999999999998</v>
      </c>
      <c r="H33" s="164">
        <f t="shared" si="19"/>
        <v>0</v>
      </c>
      <c r="I33" s="164">
        <f t="shared" si="19"/>
        <v>2</v>
      </c>
      <c r="J33" s="164">
        <f t="shared" si="19"/>
        <v>0</v>
      </c>
      <c r="K33" s="164">
        <f t="shared" si="19"/>
        <v>2.2999999999999998</v>
      </c>
      <c r="W33" s="2">
        <v>8</v>
      </c>
      <c r="X33" s="46">
        <f>K58</f>
        <v>29.900000000000002</v>
      </c>
      <c r="Y33" s="5">
        <f>K56</f>
        <v>3.9</v>
      </c>
      <c r="Z33" s="8">
        <f>K59</f>
        <v>46.2</v>
      </c>
      <c r="AA33" s="6">
        <f>K57</f>
        <v>2.2000000000000002</v>
      </c>
      <c r="AB33" s="2">
        <v>8</v>
      </c>
      <c r="AC33" s="2">
        <f>K62</f>
        <v>44</v>
      </c>
      <c r="AD33" s="2">
        <f>X33</f>
        <v>29.900000000000002</v>
      </c>
      <c r="AE33" s="2">
        <f>Y33</f>
        <v>3.9</v>
      </c>
      <c r="AF33" s="177">
        <f>$C$62-AE33-AD33-AC33</f>
        <v>2.1999999999999886</v>
      </c>
    </row>
    <row r="34" spans="1:32" x14ac:dyDescent="0.25">
      <c r="B34" s="2" t="s">
        <v>92</v>
      </c>
      <c r="C34" s="2">
        <f t="shared" si="17"/>
        <v>1</v>
      </c>
      <c r="D34" s="2">
        <f>D14</f>
        <v>0</v>
      </c>
      <c r="E34" s="2">
        <f t="shared" ref="E34:K34" si="20">E14</f>
        <v>10</v>
      </c>
      <c r="F34" s="2">
        <f t="shared" si="20"/>
        <v>0</v>
      </c>
      <c r="G34" s="2">
        <f t="shared" si="20"/>
        <v>10</v>
      </c>
      <c r="H34" s="2">
        <f t="shared" si="20"/>
        <v>0</v>
      </c>
      <c r="I34" s="2">
        <f t="shared" si="20"/>
        <v>10</v>
      </c>
      <c r="J34" s="2">
        <f t="shared" si="20"/>
        <v>0</v>
      </c>
      <c r="K34" s="2">
        <f t="shared" si="20"/>
        <v>10</v>
      </c>
      <c r="W34" s="2">
        <v>7</v>
      </c>
      <c r="X34" s="46">
        <f>J58</f>
        <v>0</v>
      </c>
      <c r="Y34" s="5">
        <f>J56</f>
        <v>0</v>
      </c>
      <c r="Z34" s="8">
        <f>J59</f>
        <v>80</v>
      </c>
      <c r="AA34" s="6">
        <f>J57</f>
        <v>0</v>
      </c>
      <c r="AB34" s="2">
        <v>7</v>
      </c>
      <c r="AC34" s="2">
        <f>J62</f>
        <v>44</v>
      </c>
      <c r="AD34" s="2">
        <f t="shared" ref="AD34:AD40" si="21">X34</f>
        <v>0</v>
      </c>
      <c r="AE34" s="2">
        <f t="shared" ref="AE34:AE40" si="22">Y34</f>
        <v>0</v>
      </c>
      <c r="AF34" s="177">
        <f t="shared" ref="AF34:AF40" si="23">$C$62-AE34-AD34-AC34</f>
        <v>36</v>
      </c>
    </row>
    <row r="35" spans="1:32" x14ac:dyDescent="0.25">
      <c r="B35" s="164" t="s">
        <v>94</v>
      </c>
      <c r="C35" s="164">
        <f t="shared" si="17"/>
        <v>1</v>
      </c>
      <c r="D35" s="164">
        <f>D15</f>
        <v>0</v>
      </c>
      <c r="E35" s="164">
        <f t="shared" ref="E35:K35" si="24">E15</f>
        <v>10</v>
      </c>
      <c r="F35" s="164">
        <f t="shared" si="24"/>
        <v>0</v>
      </c>
      <c r="G35" s="164">
        <f t="shared" si="24"/>
        <v>10</v>
      </c>
      <c r="H35" s="164">
        <f t="shared" si="24"/>
        <v>0</v>
      </c>
      <c r="I35" s="164">
        <f t="shared" si="24"/>
        <v>15</v>
      </c>
      <c r="J35" s="164">
        <f t="shared" si="24"/>
        <v>0</v>
      </c>
      <c r="K35" s="164">
        <f t="shared" si="24"/>
        <v>15</v>
      </c>
      <c r="W35" s="2">
        <v>6</v>
      </c>
      <c r="X35" s="46">
        <f>I58</f>
        <v>38.299999999999997</v>
      </c>
      <c r="Y35" s="5">
        <f>I56</f>
        <v>3.2</v>
      </c>
      <c r="Z35" s="8">
        <f>I59</f>
        <v>38.5</v>
      </c>
      <c r="AA35" s="6">
        <f>I57</f>
        <v>2.5</v>
      </c>
      <c r="AB35" s="2">
        <v>6</v>
      </c>
      <c r="AC35" s="2">
        <f>I62</f>
        <v>0</v>
      </c>
      <c r="AD35" s="2">
        <f t="shared" si="21"/>
        <v>38.299999999999997</v>
      </c>
      <c r="AE35" s="2">
        <f t="shared" si="22"/>
        <v>3.2</v>
      </c>
      <c r="AF35" s="177">
        <f t="shared" si="23"/>
        <v>38.5</v>
      </c>
    </row>
    <row r="36" spans="1:32" x14ac:dyDescent="0.25">
      <c r="B36" s="2" t="s">
        <v>95</v>
      </c>
      <c r="C36" s="2">
        <f t="shared" si="17"/>
        <v>1</v>
      </c>
      <c r="D36" s="2">
        <f>IF(D4="",0,D16)</f>
        <v>0</v>
      </c>
      <c r="E36" s="2">
        <f t="shared" ref="E36:K36" si="25">IF(E4="",0,E16)</f>
        <v>0</v>
      </c>
      <c r="F36" s="2">
        <f t="shared" si="25"/>
        <v>0</v>
      </c>
      <c r="G36" s="2">
        <f t="shared" si="25"/>
        <v>0.3</v>
      </c>
      <c r="H36" s="2">
        <f t="shared" si="25"/>
        <v>0</v>
      </c>
      <c r="I36" s="2">
        <f t="shared" si="25"/>
        <v>0</v>
      </c>
      <c r="J36" s="2">
        <f t="shared" si="25"/>
        <v>0</v>
      </c>
      <c r="K36" s="2">
        <f t="shared" si="25"/>
        <v>0.3</v>
      </c>
      <c r="W36" s="2">
        <v>5</v>
      </c>
      <c r="X36" s="46">
        <f>H58</f>
        <v>0</v>
      </c>
      <c r="Y36" s="5">
        <f>H56</f>
        <v>0</v>
      </c>
      <c r="Z36" s="8">
        <f>H59</f>
        <v>80</v>
      </c>
      <c r="AA36" s="6">
        <f>H57</f>
        <v>0</v>
      </c>
      <c r="AB36" s="2">
        <v>5</v>
      </c>
      <c r="AC36" s="2">
        <f>H62</f>
        <v>0</v>
      </c>
      <c r="AD36" s="2">
        <f t="shared" si="21"/>
        <v>0</v>
      </c>
      <c r="AE36" s="2">
        <f t="shared" si="22"/>
        <v>0</v>
      </c>
      <c r="AF36" s="177">
        <f t="shared" si="23"/>
        <v>80</v>
      </c>
    </row>
    <row r="37" spans="1:32" x14ac:dyDescent="0.25">
      <c r="B37" s="164" t="s">
        <v>96</v>
      </c>
      <c r="C37" s="164">
        <f t="shared" si="17"/>
        <v>1</v>
      </c>
      <c r="D37" s="164">
        <f>D7</f>
        <v>0</v>
      </c>
      <c r="E37" s="164">
        <f t="shared" ref="E37:K37" si="26">E7</f>
        <v>3.2</v>
      </c>
      <c r="F37" s="164">
        <f t="shared" si="26"/>
        <v>0</v>
      </c>
      <c r="G37" s="164">
        <f t="shared" si="26"/>
        <v>3.9</v>
      </c>
      <c r="H37" s="164">
        <f t="shared" si="26"/>
        <v>0</v>
      </c>
      <c r="I37" s="164">
        <f t="shared" si="26"/>
        <v>3.2</v>
      </c>
      <c r="J37" s="164">
        <f t="shared" si="26"/>
        <v>0</v>
      </c>
      <c r="K37" s="164">
        <f t="shared" si="26"/>
        <v>3.9</v>
      </c>
      <c r="W37" s="2">
        <v>4</v>
      </c>
      <c r="X37" s="46">
        <f>G58</f>
        <v>29.900000000000002</v>
      </c>
      <c r="Y37" s="5">
        <f>G56</f>
        <v>3.9</v>
      </c>
      <c r="Z37" s="8">
        <f>G59</f>
        <v>46.2</v>
      </c>
      <c r="AA37" s="6">
        <f>G57</f>
        <v>2.2000000000000002</v>
      </c>
      <c r="AB37" s="2">
        <v>4</v>
      </c>
      <c r="AC37" s="2">
        <f>G62</f>
        <v>44</v>
      </c>
      <c r="AD37" s="2">
        <f t="shared" si="21"/>
        <v>29.900000000000002</v>
      </c>
      <c r="AE37" s="2">
        <f t="shared" si="22"/>
        <v>3.9</v>
      </c>
      <c r="AF37" s="177">
        <f t="shared" si="23"/>
        <v>2.1999999999999886</v>
      </c>
    </row>
    <row r="38" spans="1:32" x14ac:dyDescent="0.25">
      <c r="B38" s="2" t="s">
        <v>97</v>
      </c>
      <c r="C38" s="2">
        <f t="shared" si="17"/>
        <v>1</v>
      </c>
      <c r="D38" s="2">
        <f>D8</f>
        <v>0</v>
      </c>
      <c r="E38" s="2">
        <f t="shared" ref="E38:K38" si="27">E8</f>
        <v>2.5</v>
      </c>
      <c r="F38" s="2">
        <f t="shared" si="27"/>
        <v>0</v>
      </c>
      <c r="G38" s="2">
        <f t="shared" si="27"/>
        <v>2.2000000000000002</v>
      </c>
      <c r="H38" s="2">
        <f t="shared" si="27"/>
        <v>0</v>
      </c>
      <c r="I38" s="2">
        <f t="shared" si="27"/>
        <v>2.5</v>
      </c>
      <c r="J38" s="2">
        <f t="shared" si="27"/>
        <v>0</v>
      </c>
      <c r="K38" s="2">
        <f t="shared" si="27"/>
        <v>2.2000000000000002</v>
      </c>
      <c r="W38" s="2">
        <v>3</v>
      </c>
      <c r="X38" s="46">
        <f>F58</f>
        <v>0</v>
      </c>
      <c r="Y38" s="5">
        <f>F56</f>
        <v>0</v>
      </c>
      <c r="Z38" s="8">
        <f>F59</f>
        <v>80</v>
      </c>
      <c r="AA38" s="6">
        <f>F57</f>
        <v>0</v>
      </c>
      <c r="AB38" s="2">
        <v>3</v>
      </c>
      <c r="AC38" s="2">
        <f>F62</f>
        <v>44</v>
      </c>
      <c r="AD38" s="2">
        <f t="shared" si="21"/>
        <v>0</v>
      </c>
      <c r="AE38" s="2">
        <f t="shared" si="22"/>
        <v>0</v>
      </c>
      <c r="AF38" s="177">
        <f t="shared" si="23"/>
        <v>36</v>
      </c>
    </row>
    <row r="39" spans="1:32" x14ac:dyDescent="0.25">
      <c r="B39" s="164" t="s">
        <v>98</v>
      </c>
      <c r="C39" s="164">
        <f t="shared" si="17"/>
        <v>1</v>
      </c>
      <c r="D39" s="164">
        <v>0</v>
      </c>
      <c r="E39" s="164">
        <f>IF(E9=0,0,1)</f>
        <v>1</v>
      </c>
      <c r="F39" s="164">
        <v>0</v>
      </c>
      <c r="G39" s="164">
        <f>IF(G9=0,0,1)</f>
        <v>1</v>
      </c>
      <c r="H39" s="164">
        <v>0</v>
      </c>
      <c r="I39" s="164">
        <f>IF(I9=0,0,1)</f>
        <v>1</v>
      </c>
      <c r="J39" s="164">
        <v>0</v>
      </c>
      <c r="K39" s="164">
        <f>IF(K9=0,0,1)</f>
        <v>1</v>
      </c>
      <c r="W39" s="2">
        <v>2</v>
      </c>
      <c r="X39" s="46">
        <f>E58</f>
        <v>38.299999999999997</v>
      </c>
      <c r="Y39" s="5">
        <f>E56</f>
        <v>3.2</v>
      </c>
      <c r="Z39" s="8">
        <f>E59</f>
        <v>38.5</v>
      </c>
      <c r="AA39" s="6">
        <f>E57</f>
        <v>2.5</v>
      </c>
      <c r="AB39" s="2">
        <v>2</v>
      </c>
      <c r="AC39" s="2">
        <f>E62</f>
        <v>0</v>
      </c>
      <c r="AD39" s="2">
        <f t="shared" si="21"/>
        <v>38.299999999999997</v>
      </c>
      <c r="AE39" s="2">
        <f t="shared" si="22"/>
        <v>3.2</v>
      </c>
      <c r="AF39" s="177">
        <f t="shared" si="23"/>
        <v>38.5</v>
      </c>
    </row>
    <row r="40" spans="1:32" x14ac:dyDescent="0.25">
      <c r="B40" s="2" t="s">
        <v>99</v>
      </c>
      <c r="C40" s="2">
        <f t="shared" si="17"/>
        <v>1</v>
      </c>
      <c r="E40" s="2">
        <f>E9</f>
        <v>5</v>
      </c>
      <c r="G40" s="2">
        <f>G9</f>
        <v>5</v>
      </c>
      <c r="I40" s="2">
        <f>I9</f>
        <v>5</v>
      </c>
      <c r="K40" s="2">
        <f>K9</f>
        <v>5</v>
      </c>
      <c r="W40" s="2">
        <v>1</v>
      </c>
      <c r="X40" s="46">
        <f>D58</f>
        <v>0</v>
      </c>
      <c r="Y40" s="5">
        <f>D56</f>
        <v>0</v>
      </c>
      <c r="Z40" s="8">
        <f>D59</f>
        <v>80</v>
      </c>
      <c r="AA40" s="6">
        <f>D57</f>
        <v>0</v>
      </c>
      <c r="AB40" s="2">
        <v>1</v>
      </c>
      <c r="AC40" s="2">
        <f>D62</f>
        <v>0</v>
      </c>
      <c r="AD40" s="2">
        <f t="shared" si="21"/>
        <v>0</v>
      </c>
      <c r="AE40" s="2">
        <f t="shared" si="22"/>
        <v>0</v>
      </c>
      <c r="AF40" s="177">
        <f t="shared" si="23"/>
        <v>80</v>
      </c>
    </row>
    <row r="41" spans="1:32" x14ac:dyDescent="0.25">
      <c r="B41" s="164" t="s">
        <v>100</v>
      </c>
      <c r="C41" s="164">
        <f t="shared" si="17"/>
        <v>1</v>
      </c>
      <c r="D41" s="164"/>
      <c r="E41" s="164">
        <f>E10</f>
        <v>31</v>
      </c>
      <c r="F41" s="164"/>
      <c r="G41" s="164">
        <f>G10</f>
        <v>24</v>
      </c>
      <c r="H41" s="164"/>
      <c r="I41" s="164">
        <f>I10</f>
        <v>31</v>
      </c>
      <c r="J41" s="164"/>
      <c r="K41" s="164">
        <f>K10</f>
        <v>24</v>
      </c>
    </row>
    <row r="42" spans="1:32" x14ac:dyDescent="0.25">
      <c r="B42" s="2" t="s">
        <v>101</v>
      </c>
      <c r="C42" s="2">
        <f t="shared" si="17"/>
        <v>1</v>
      </c>
      <c r="E42" s="2">
        <f>IF(E40=0,0,1)</f>
        <v>1</v>
      </c>
      <c r="G42" s="2">
        <f>IF(G40=0,0,1)</f>
        <v>1</v>
      </c>
      <c r="I42" s="2">
        <f>IF(I40=0,0,1)</f>
        <v>1</v>
      </c>
      <c r="K42" s="2">
        <f>IF(K40=0,0,1)</f>
        <v>1</v>
      </c>
      <c r="AF42" s="177"/>
    </row>
    <row r="43" spans="1:32" x14ac:dyDescent="0.25">
      <c r="B43" s="164" t="s">
        <v>102</v>
      </c>
      <c r="C43" s="164">
        <f t="shared" si="17"/>
        <v>1</v>
      </c>
      <c r="D43" s="164">
        <f>IF(D4="",0,D18)</f>
        <v>0</v>
      </c>
      <c r="E43" s="164">
        <f t="shared" ref="E43:K43" si="28">IF(E4="",0,E18)</f>
        <v>42</v>
      </c>
      <c r="F43" s="164">
        <f t="shared" si="28"/>
        <v>0</v>
      </c>
      <c r="G43" s="164">
        <f t="shared" si="28"/>
        <v>36</v>
      </c>
      <c r="H43" s="164">
        <f t="shared" si="28"/>
        <v>0</v>
      </c>
      <c r="I43" s="164">
        <f t="shared" si="28"/>
        <v>42</v>
      </c>
      <c r="J43" s="164">
        <f t="shared" si="28"/>
        <v>0</v>
      </c>
      <c r="K43" s="164">
        <f t="shared" si="28"/>
        <v>36</v>
      </c>
      <c r="AF43" s="177"/>
    </row>
    <row r="44" spans="1:32" x14ac:dyDescent="0.25">
      <c r="B44" s="2" t="s">
        <v>103</v>
      </c>
      <c r="C44" s="2">
        <f t="shared" si="17"/>
        <v>1</v>
      </c>
      <c r="D44" s="2">
        <v>0</v>
      </c>
      <c r="E44" s="2">
        <f>IF(E3=0,0,1)</f>
        <v>1</v>
      </c>
      <c r="F44" s="2">
        <v>0</v>
      </c>
      <c r="G44" s="2">
        <f>IF(G3=0,0,1)</f>
        <v>1</v>
      </c>
      <c r="H44" s="2">
        <v>0</v>
      </c>
      <c r="I44" s="2">
        <f>IF(I3=0,0,1)</f>
        <v>1</v>
      </c>
      <c r="J44" s="2">
        <v>0</v>
      </c>
      <c r="K44" s="2">
        <f>IF(K3=0,0,1)</f>
        <v>1</v>
      </c>
      <c r="AF44" s="177"/>
    </row>
    <row r="45" spans="1:32" x14ac:dyDescent="0.25">
      <c r="B45" s="164" t="s">
        <v>104</v>
      </c>
      <c r="C45" s="164">
        <f t="shared" si="17"/>
        <v>1</v>
      </c>
      <c r="D45" s="164">
        <f>IF(D3=0,0,1)</f>
        <v>0</v>
      </c>
      <c r="E45" s="164">
        <f t="shared" ref="E45:K45" si="29">IF(E3=0,0,1)</f>
        <v>1</v>
      </c>
      <c r="F45" s="164">
        <f t="shared" si="29"/>
        <v>0</v>
      </c>
      <c r="G45" s="164">
        <f t="shared" si="29"/>
        <v>1</v>
      </c>
      <c r="H45" s="164">
        <f t="shared" si="29"/>
        <v>0</v>
      </c>
      <c r="I45" s="164">
        <f t="shared" si="29"/>
        <v>1</v>
      </c>
      <c r="J45" s="164">
        <f t="shared" si="29"/>
        <v>0</v>
      </c>
      <c r="K45" s="164">
        <f t="shared" si="29"/>
        <v>1</v>
      </c>
      <c r="AF45" s="177"/>
    </row>
    <row r="46" spans="1:32" x14ac:dyDescent="0.25">
      <c r="A46" s="2">
        <v>8</v>
      </c>
      <c r="B46" s="2" t="s">
        <v>105</v>
      </c>
      <c r="C46" s="2">
        <f t="shared" si="17"/>
        <v>1</v>
      </c>
      <c r="D46" s="2">
        <f>IF(D4="",0,D19)</f>
        <v>0</v>
      </c>
      <c r="E46" s="2">
        <f t="shared" ref="E46:K46" si="30">IF(E4="",0,E19)</f>
        <v>0</v>
      </c>
      <c r="F46" s="2">
        <f t="shared" si="30"/>
        <v>0</v>
      </c>
      <c r="G46" s="2">
        <f t="shared" si="30"/>
        <v>44</v>
      </c>
      <c r="H46" s="2">
        <f t="shared" si="30"/>
        <v>0</v>
      </c>
      <c r="I46" s="2">
        <f t="shared" si="30"/>
        <v>0</v>
      </c>
      <c r="J46" s="2">
        <f t="shared" si="30"/>
        <v>0</v>
      </c>
      <c r="K46" s="2">
        <f t="shared" si="30"/>
        <v>44</v>
      </c>
      <c r="AF46" s="177"/>
    </row>
    <row r="47" spans="1:32" x14ac:dyDescent="0.25">
      <c r="B47" s="164" t="s">
        <v>106</v>
      </c>
      <c r="C47" s="164">
        <f t="shared" si="17"/>
        <v>1</v>
      </c>
      <c r="D47" s="164">
        <f>IF(D4="",0,D20)</f>
        <v>0</v>
      </c>
      <c r="E47" s="164">
        <f t="shared" ref="E47:K47" si="31">IF(E4="",0,E20)</f>
        <v>44</v>
      </c>
      <c r="F47" s="164">
        <f t="shared" si="31"/>
        <v>0</v>
      </c>
      <c r="G47" s="164">
        <f t="shared" si="31"/>
        <v>80</v>
      </c>
      <c r="H47" s="164">
        <f t="shared" si="31"/>
        <v>0</v>
      </c>
      <c r="I47" s="164">
        <f t="shared" si="31"/>
        <v>44</v>
      </c>
      <c r="J47" s="164">
        <f t="shared" si="31"/>
        <v>0</v>
      </c>
      <c r="K47" s="164">
        <f t="shared" si="31"/>
        <v>80</v>
      </c>
      <c r="AF47" s="177"/>
    </row>
    <row r="48" spans="1:32" x14ac:dyDescent="0.25">
      <c r="B48" s="2" t="s">
        <v>107</v>
      </c>
      <c r="C48" s="2">
        <f t="shared" si="17"/>
        <v>1</v>
      </c>
      <c r="D48" s="2">
        <f>IF(D4="",0,D21)</f>
        <v>0</v>
      </c>
      <c r="E48" s="2">
        <f t="shared" ref="E48:K48" si="32">IF(E4="",0,E21)</f>
        <v>38</v>
      </c>
      <c r="F48" s="2">
        <f t="shared" si="32"/>
        <v>0</v>
      </c>
      <c r="G48" s="2">
        <f t="shared" si="32"/>
        <v>74</v>
      </c>
      <c r="H48" s="2">
        <f t="shared" si="32"/>
        <v>0</v>
      </c>
      <c r="I48" s="2">
        <f t="shared" si="32"/>
        <v>38</v>
      </c>
      <c r="J48" s="2">
        <f t="shared" si="32"/>
        <v>0</v>
      </c>
      <c r="K48" s="2">
        <f t="shared" si="32"/>
        <v>74</v>
      </c>
      <c r="AF48" s="177"/>
    </row>
    <row r="49" spans="2:32" x14ac:dyDescent="0.25">
      <c r="B49" s="164" t="s">
        <v>108</v>
      </c>
      <c r="C49" s="164">
        <f t="shared" si="17"/>
        <v>1</v>
      </c>
      <c r="D49" s="164">
        <f>IF(D4="",0,D22)</f>
        <v>0</v>
      </c>
      <c r="E49" s="164">
        <f t="shared" ref="E49:K49" si="33">IF(E4="",0,E22)</f>
        <v>38</v>
      </c>
      <c r="F49" s="164">
        <f t="shared" si="33"/>
        <v>0</v>
      </c>
      <c r="G49" s="164">
        <f t="shared" si="33"/>
        <v>74</v>
      </c>
      <c r="H49" s="164">
        <f t="shared" si="33"/>
        <v>0</v>
      </c>
      <c r="I49" s="164">
        <f t="shared" si="33"/>
        <v>38</v>
      </c>
      <c r="J49" s="164">
        <f t="shared" si="33"/>
        <v>0</v>
      </c>
      <c r="K49" s="164">
        <f t="shared" si="33"/>
        <v>74</v>
      </c>
      <c r="AF49" s="177"/>
    </row>
    <row r="50" spans="2:32" x14ac:dyDescent="0.25">
      <c r="B50" s="2" t="s">
        <v>109</v>
      </c>
      <c r="C50" s="2">
        <f t="shared" si="17"/>
        <v>1</v>
      </c>
      <c r="D50" s="2">
        <f>IF(D4="",0,D23)</f>
        <v>0</v>
      </c>
      <c r="E50" s="2">
        <f t="shared" ref="E50:K50" si="34">IF(E4="",0,E23)</f>
        <v>0</v>
      </c>
      <c r="F50" s="2">
        <f t="shared" si="34"/>
        <v>0</v>
      </c>
      <c r="G50" s="2">
        <f t="shared" si="34"/>
        <v>44</v>
      </c>
      <c r="H50" s="2">
        <f t="shared" si="34"/>
        <v>0</v>
      </c>
      <c r="I50" s="2">
        <f t="shared" si="34"/>
        <v>0</v>
      </c>
      <c r="J50" s="2">
        <f t="shared" si="34"/>
        <v>0</v>
      </c>
      <c r="K50" s="2">
        <f t="shared" si="34"/>
        <v>44</v>
      </c>
    </row>
    <row r="51" spans="2:32" x14ac:dyDescent="0.25">
      <c r="B51" s="164" t="s">
        <v>110</v>
      </c>
      <c r="C51" s="164">
        <f t="shared" si="17"/>
        <v>1</v>
      </c>
      <c r="D51" s="164">
        <f>IF(D4="",0,D24)</f>
        <v>0</v>
      </c>
      <c r="E51" s="164">
        <f t="shared" ref="E51:K51" si="35">IF(E4="",0,E24)</f>
        <v>38</v>
      </c>
      <c r="F51" s="164">
        <f t="shared" si="35"/>
        <v>0</v>
      </c>
      <c r="G51" s="164">
        <f t="shared" si="35"/>
        <v>74</v>
      </c>
      <c r="H51" s="164">
        <f t="shared" si="35"/>
        <v>0</v>
      </c>
      <c r="I51" s="164">
        <f t="shared" si="35"/>
        <v>38</v>
      </c>
      <c r="J51" s="164">
        <f t="shared" si="35"/>
        <v>0</v>
      </c>
      <c r="K51" s="164">
        <f t="shared" si="35"/>
        <v>74</v>
      </c>
    </row>
    <row r="52" spans="2:32" x14ac:dyDescent="0.25">
      <c r="B52" s="2" t="s">
        <v>111</v>
      </c>
      <c r="C52" s="2">
        <f t="shared" si="17"/>
        <v>1</v>
      </c>
      <c r="D52" s="2">
        <f>IF(D4="",0,D25)</f>
        <v>0</v>
      </c>
      <c r="E52" s="2">
        <f t="shared" ref="E52:K52" si="36">IF(E4="",0,E25)</f>
        <v>38</v>
      </c>
      <c r="F52" s="2">
        <f t="shared" si="36"/>
        <v>0</v>
      </c>
      <c r="G52" s="2">
        <f t="shared" si="36"/>
        <v>74</v>
      </c>
      <c r="H52" s="2">
        <f t="shared" si="36"/>
        <v>0</v>
      </c>
      <c r="I52" s="2">
        <f t="shared" si="36"/>
        <v>38</v>
      </c>
      <c r="J52" s="2">
        <f t="shared" si="36"/>
        <v>0</v>
      </c>
      <c r="K52" s="2">
        <f t="shared" si="36"/>
        <v>74</v>
      </c>
    </row>
    <row r="54" spans="2:32" x14ac:dyDescent="0.25">
      <c r="D54" s="2">
        <v>1</v>
      </c>
      <c r="E54" s="2">
        <v>2</v>
      </c>
      <c r="F54" s="2">
        <v>3</v>
      </c>
      <c r="G54" s="2">
        <v>4</v>
      </c>
      <c r="H54" s="2">
        <v>5</v>
      </c>
      <c r="I54" s="2">
        <v>6</v>
      </c>
      <c r="J54" s="2">
        <v>7</v>
      </c>
      <c r="K54" s="2">
        <v>8</v>
      </c>
    </row>
    <row r="55" spans="2:32" x14ac:dyDescent="0.25">
      <c r="B55" s="164" t="s">
        <v>555</v>
      </c>
      <c r="C55" s="164"/>
      <c r="D55" s="164">
        <f>D3</f>
        <v>0</v>
      </c>
      <c r="E55" s="164">
        <f t="shared" ref="E55:K55" si="37">E3</f>
        <v>44</v>
      </c>
      <c r="F55" s="164">
        <f t="shared" si="37"/>
        <v>0</v>
      </c>
      <c r="G55" s="164">
        <f t="shared" si="37"/>
        <v>36</v>
      </c>
      <c r="H55" s="164">
        <f t="shared" si="37"/>
        <v>0</v>
      </c>
      <c r="I55" s="164">
        <f t="shared" si="37"/>
        <v>44</v>
      </c>
      <c r="J55" s="164">
        <f t="shared" si="37"/>
        <v>0</v>
      </c>
      <c r="K55" s="164">
        <f t="shared" si="37"/>
        <v>36</v>
      </c>
    </row>
    <row r="56" spans="2:32" x14ac:dyDescent="0.25">
      <c r="B56" s="2" t="s">
        <v>96</v>
      </c>
      <c r="D56" s="5">
        <f>D7</f>
        <v>0</v>
      </c>
      <c r="E56" s="5">
        <f t="shared" ref="E56:K56" si="38">E7</f>
        <v>3.2</v>
      </c>
      <c r="F56" s="5">
        <f t="shared" si="38"/>
        <v>0</v>
      </c>
      <c r="G56" s="5">
        <f t="shared" si="38"/>
        <v>3.9</v>
      </c>
      <c r="H56" s="5">
        <f t="shared" si="38"/>
        <v>0</v>
      </c>
      <c r="I56" s="5">
        <f t="shared" si="38"/>
        <v>3.2</v>
      </c>
      <c r="J56" s="5">
        <f t="shared" si="38"/>
        <v>0</v>
      </c>
      <c r="K56" s="5">
        <f t="shared" si="38"/>
        <v>3.9</v>
      </c>
    </row>
    <row r="57" spans="2:32" x14ac:dyDescent="0.25">
      <c r="B57" s="164" t="s">
        <v>522</v>
      </c>
      <c r="C57" s="164"/>
      <c r="D57" s="164">
        <f>D8</f>
        <v>0</v>
      </c>
      <c r="E57" s="164">
        <f t="shared" ref="E57:K57" si="39">E8</f>
        <v>2.5</v>
      </c>
      <c r="F57" s="164">
        <f t="shared" si="39"/>
        <v>0</v>
      </c>
      <c r="G57" s="164">
        <f t="shared" si="39"/>
        <v>2.2000000000000002</v>
      </c>
      <c r="H57" s="164">
        <f t="shared" si="39"/>
        <v>0</v>
      </c>
      <c r="I57" s="164">
        <f t="shared" si="39"/>
        <v>2.5</v>
      </c>
      <c r="J57" s="164">
        <f t="shared" si="39"/>
        <v>0</v>
      </c>
      <c r="K57" s="164">
        <f t="shared" si="39"/>
        <v>2.2000000000000002</v>
      </c>
    </row>
    <row r="58" spans="2:32" x14ac:dyDescent="0.25">
      <c r="B58" s="2" t="s">
        <v>549</v>
      </c>
      <c r="D58" s="46">
        <f>D55-D56-D57</f>
        <v>0</v>
      </c>
      <c r="E58" s="46">
        <f t="shared" ref="E58:K58" si="40">E55-E56-E57</f>
        <v>38.299999999999997</v>
      </c>
      <c r="F58" s="46">
        <f t="shared" si="40"/>
        <v>0</v>
      </c>
      <c r="G58" s="46">
        <f t="shared" si="40"/>
        <v>29.900000000000002</v>
      </c>
      <c r="H58" s="46">
        <f t="shared" si="40"/>
        <v>0</v>
      </c>
      <c r="I58" s="46">
        <f t="shared" si="40"/>
        <v>38.299999999999997</v>
      </c>
      <c r="J58" s="46">
        <f t="shared" si="40"/>
        <v>0</v>
      </c>
      <c r="K58" s="46">
        <f t="shared" si="40"/>
        <v>29.900000000000002</v>
      </c>
    </row>
    <row r="59" spans="2:32" x14ac:dyDescent="0.25">
      <c r="B59" s="2" t="s">
        <v>550</v>
      </c>
      <c r="D59" s="2">
        <f>$C$62-D55+D57</f>
        <v>80</v>
      </c>
      <c r="E59" s="2">
        <f t="shared" ref="E59:K59" si="41">$C$62-E55+E57</f>
        <v>38.5</v>
      </c>
      <c r="F59" s="2">
        <f t="shared" si="41"/>
        <v>80</v>
      </c>
      <c r="G59" s="2">
        <f t="shared" si="41"/>
        <v>46.2</v>
      </c>
      <c r="H59" s="2">
        <f t="shared" si="41"/>
        <v>80</v>
      </c>
      <c r="I59" s="2">
        <f t="shared" si="41"/>
        <v>38.5</v>
      </c>
      <c r="J59" s="2">
        <f t="shared" si="41"/>
        <v>80</v>
      </c>
      <c r="K59" s="2">
        <f t="shared" si="41"/>
        <v>46.2</v>
      </c>
    </row>
    <row r="61" spans="2:32" x14ac:dyDescent="0.25">
      <c r="C61" s="2" t="s">
        <v>397</v>
      </c>
      <c r="D61" s="165">
        <v>1</v>
      </c>
      <c r="E61" s="165">
        <v>2</v>
      </c>
      <c r="F61" s="165">
        <v>3</v>
      </c>
      <c r="G61" s="165">
        <v>4</v>
      </c>
      <c r="H61" s="166">
        <v>5</v>
      </c>
      <c r="I61" s="165">
        <v>6</v>
      </c>
      <c r="J61" s="165">
        <v>7</v>
      </c>
      <c r="K61" s="165">
        <v>8</v>
      </c>
    </row>
    <row r="62" spans="2:32" x14ac:dyDescent="0.25">
      <c r="B62" s="164" t="s">
        <v>556</v>
      </c>
      <c r="C62" s="167">
        <f>'Phase calculation'!D25</f>
        <v>80</v>
      </c>
      <c r="D62" s="46">
        <v>0</v>
      </c>
      <c r="E62" s="46">
        <f>D65</f>
        <v>0</v>
      </c>
      <c r="F62" s="46">
        <f>E65</f>
        <v>44</v>
      </c>
      <c r="G62" s="46">
        <f>F65</f>
        <v>44</v>
      </c>
      <c r="H62" s="168">
        <v>0</v>
      </c>
      <c r="I62" s="174">
        <f>H65</f>
        <v>0</v>
      </c>
      <c r="J62" s="174">
        <f>I65</f>
        <v>44</v>
      </c>
      <c r="K62" s="174">
        <f>J65</f>
        <v>44</v>
      </c>
    </row>
    <row r="63" spans="2:32" x14ac:dyDescent="0.25">
      <c r="B63" s="2" t="s">
        <v>557</v>
      </c>
      <c r="D63" s="5">
        <f t="shared" ref="D63:K63" si="42">D62+D58</f>
        <v>0</v>
      </c>
      <c r="E63" s="5">
        <f t="shared" si="42"/>
        <v>38.299999999999997</v>
      </c>
      <c r="F63" s="5">
        <f t="shared" si="42"/>
        <v>44</v>
      </c>
      <c r="G63" s="5">
        <f t="shared" si="42"/>
        <v>73.900000000000006</v>
      </c>
      <c r="H63" s="169">
        <f t="shared" si="42"/>
        <v>0</v>
      </c>
      <c r="I63" s="175">
        <f t="shared" si="42"/>
        <v>38.299999999999997</v>
      </c>
      <c r="J63" s="175">
        <f t="shared" si="42"/>
        <v>44</v>
      </c>
      <c r="K63" s="175">
        <f t="shared" si="42"/>
        <v>73.900000000000006</v>
      </c>
    </row>
    <row r="64" spans="2:32" x14ac:dyDescent="0.25">
      <c r="B64" s="164" t="s">
        <v>558</v>
      </c>
      <c r="C64" s="164"/>
      <c r="D64" s="8">
        <f t="shared" ref="D64:K65" si="43">D63+D56</f>
        <v>0</v>
      </c>
      <c r="E64" s="8">
        <f t="shared" si="43"/>
        <v>41.5</v>
      </c>
      <c r="F64" s="8">
        <f t="shared" si="43"/>
        <v>44</v>
      </c>
      <c r="G64" s="8">
        <f t="shared" si="43"/>
        <v>77.800000000000011</v>
      </c>
      <c r="H64" s="170">
        <f t="shared" si="43"/>
        <v>0</v>
      </c>
      <c r="I64" s="176">
        <f t="shared" si="43"/>
        <v>41.5</v>
      </c>
      <c r="J64" s="176">
        <f t="shared" si="43"/>
        <v>44</v>
      </c>
      <c r="K64" s="176">
        <f t="shared" si="43"/>
        <v>77.800000000000011</v>
      </c>
    </row>
    <row r="65" spans="2:11" x14ac:dyDescent="0.25">
      <c r="B65" s="2" t="s">
        <v>559</v>
      </c>
      <c r="D65" s="2">
        <f t="shared" si="43"/>
        <v>0</v>
      </c>
      <c r="E65" s="2">
        <f t="shared" si="43"/>
        <v>44</v>
      </c>
      <c r="F65" s="2">
        <f t="shared" si="43"/>
        <v>44</v>
      </c>
      <c r="G65" s="2">
        <f t="shared" si="43"/>
        <v>80.000000000000014</v>
      </c>
      <c r="H65" s="178">
        <f t="shared" si="43"/>
        <v>0</v>
      </c>
      <c r="I65" s="179">
        <f t="shared" si="43"/>
        <v>44</v>
      </c>
      <c r="J65" s="179">
        <f t="shared" si="43"/>
        <v>44</v>
      </c>
      <c r="K65" s="179">
        <f t="shared" si="43"/>
        <v>80.000000000000014</v>
      </c>
    </row>
  </sheetData>
  <mergeCells count="2">
    <mergeCell ref="A28:C28"/>
    <mergeCell ref="W31:AF31"/>
  </mergeCells>
  <phoneticPr fontId="25" type="noConversion"/>
  <pageMargins left="0.7" right="0.7" top="0.75" bottom="0.75" header="0.3" footer="0.3"/>
  <ignoredErrors>
    <ignoredError sqref="E34:K35 E37:K41 J42 H42 F42 E44:K45 E32:K32"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X248"/>
  <sheetViews>
    <sheetView showGridLines="0" zoomScale="60" zoomScaleNormal="60" workbookViewId="0">
      <selection activeCell="I67" sqref="I67:K69"/>
    </sheetView>
  </sheetViews>
  <sheetFormatPr defaultColWidth="9" defaultRowHeight="14.4" x14ac:dyDescent="0.25"/>
  <cols>
    <col min="1" max="5" width="10.6640625" customWidth="1"/>
    <col min="6" max="6" width="13.88671875" customWidth="1"/>
    <col min="7" max="18" width="10.6640625" customWidth="1"/>
    <col min="19" max="28" width="9.109375" customWidth="1"/>
    <col min="30" max="37" width="9" hidden="1" customWidth="1"/>
    <col min="49" max="50" width="9" hidden="1" customWidth="1"/>
  </cols>
  <sheetData>
    <row r="1" spans="1:37" x14ac:dyDescent="0.25">
      <c r="AD1" s="2" t="str">
        <f>'Phase designation'!C26</f>
        <v>EBL</v>
      </c>
      <c r="AE1" s="2" t="str">
        <f>'Phase designation'!D26</f>
        <v>EBT</v>
      </c>
      <c r="AF1" s="2" t="str">
        <f>'Phase designation'!E26</f>
        <v>WBL</v>
      </c>
      <c r="AG1" s="2" t="str">
        <f>'Phase designation'!F26</f>
        <v>WBT</v>
      </c>
      <c r="AH1" s="2" t="str">
        <f>'Phase designation'!G26</f>
        <v>NBL</v>
      </c>
      <c r="AI1" s="2" t="str">
        <f>'Phase designation'!H26</f>
        <v>NBT</v>
      </c>
      <c r="AJ1" s="2" t="str">
        <f>'Phase designation'!I26</f>
        <v>SBL</v>
      </c>
      <c r="AK1" s="2" t="str">
        <f>'Phase designation'!J26</f>
        <v>SBT</v>
      </c>
    </row>
    <row r="2" spans="1:37" x14ac:dyDescent="0.25">
      <c r="B2" s="476" t="s">
        <v>560</v>
      </c>
      <c r="C2" s="476"/>
      <c r="D2" s="476"/>
      <c r="E2" s="476"/>
      <c r="F2" s="476"/>
      <c r="G2" s="476"/>
      <c r="H2" s="476"/>
      <c r="I2" s="45"/>
      <c r="L2" s="477" t="s">
        <v>561</v>
      </c>
      <c r="M2" s="477"/>
      <c r="N2" s="477"/>
      <c r="O2" s="477"/>
      <c r="P2" s="477"/>
      <c r="Q2" s="477"/>
      <c r="R2" s="45"/>
      <c r="U2" s="476" t="s">
        <v>562</v>
      </c>
      <c r="V2" s="476"/>
      <c r="W2" s="476"/>
      <c r="X2" s="476"/>
      <c r="Y2" s="476"/>
      <c r="Z2" s="476"/>
      <c r="AA2" s="476"/>
      <c r="AD2" s="2">
        <f>'Phase designation'!C27</f>
        <v>0</v>
      </c>
      <c r="AE2" s="2">
        <f>'Phase designation'!D27</f>
        <v>4</v>
      </c>
      <c r="AF2" s="2">
        <f>'Phase designation'!E27</f>
        <v>0</v>
      </c>
      <c r="AG2" s="2">
        <f>'Phase designation'!F27</f>
        <v>8</v>
      </c>
      <c r="AH2" s="2">
        <f>'Phase designation'!G27</f>
        <v>0</v>
      </c>
      <c r="AI2" s="2">
        <f>'Phase designation'!H27</f>
        <v>2</v>
      </c>
      <c r="AJ2" s="2">
        <f>'Phase designation'!I27</f>
        <v>0</v>
      </c>
      <c r="AK2" s="2">
        <f>'Phase designation'!J27</f>
        <v>6</v>
      </c>
    </row>
    <row r="3" spans="1:37" x14ac:dyDescent="0.25">
      <c r="D3" s="468" t="str">
        <f>Sheet1!J38</f>
        <v>Minor</v>
      </c>
      <c r="E3" s="468"/>
      <c r="F3" s="468"/>
      <c r="N3" s="468" t="str">
        <f>D3</f>
        <v>Minor</v>
      </c>
      <c r="O3" s="468"/>
      <c r="P3" s="468"/>
      <c r="AD3" s="2">
        <f>'Phase designation'!C28</f>
        <v>4</v>
      </c>
      <c r="AE3" s="2">
        <f>'Phase designation'!D28</f>
        <v>0</v>
      </c>
      <c r="AF3" s="2">
        <f>'Phase designation'!E28</f>
        <v>8</v>
      </c>
      <c r="AG3" s="2">
        <f>'Phase designation'!F28</f>
        <v>0</v>
      </c>
      <c r="AH3" s="2">
        <f>'Phase designation'!G28</f>
        <v>2</v>
      </c>
      <c r="AI3" s="2">
        <f>'Phase designation'!H28</f>
        <v>0</v>
      </c>
      <c r="AJ3" s="2">
        <f>'Phase designation'!I28</f>
        <v>6</v>
      </c>
      <c r="AK3" s="2">
        <f>'Phase designation'!J28</f>
        <v>0</v>
      </c>
    </row>
    <row r="4" spans="1:37" x14ac:dyDescent="0.25">
      <c r="C4" s="18"/>
      <c r="D4" s="19">
        <f>IF(Z4=0,0,Sheet1!K4+Sheet1!AE4+Sheet1!AH4)</f>
        <v>100</v>
      </c>
      <c r="E4" s="19">
        <f>IF(Z4=0,0,Sheet1!J4+Sheet1!AD4+Sheet1!AG4)</f>
        <v>850</v>
      </c>
      <c r="F4" s="19">
        <f>IF(Z4=0,0,Sheet1!I4+Sheet1!AC4+Sheet1!AF4)</f>
        <v>100</v>
      </c>
      <c r="G4" s="18"/>
      <c r="H4" s="18"/>
      <c r="I4" s="18"/>
      <c r="L4" s="18"/>
      <c r="M4" s="18"/>
      <c r="N4" s="82">
        <f>'Phase calculation'!O33</f>
        <v>6</v>
      </c>
      <c r="O4" s="83">
        <f>IF(X4=0,"N/A",AK5)</f>
        <v>6</v>
      </c>
      <c r="P4" s="83">
        <f>IF(Y4=0,"N/A",AJ5)</f>
        <v>6</v>
      </c>
      <c r="Q4" s="18"/>
      <c r="R4" s="18"/>
      <c r="V4" s="18"/>
      <c r="W4" s="19">
        <f>Sheet1!K5+Sheet1!AE5+Sheet1!AH5</f>
        <v>1</v>
      </c>
      <c r="X4" s="19">
        <f>Sheet1!J5+Sheet1!AD5+Sheet1!AG5</f>
        <v>2</v>
      </c>
      <c r="Y4" s="19">
        <f>Sheet1!I5+Sheet1!AC5+Sheet1!AF5</f>
        <v>1</v>
      </c>
      <c r="Z4" s="136">
        <f>SUM(W4:Y4)+X17</f>
        <v>6</v>
      </c>
      <c r="AA4" s="18"/>
    </row>
    <row r="5" spans="1:37" x14ac:dyDescent="0.25">
      <c r="C5" s="18"/>
      <c r="D5" s="18"/>
      <c r="E5" s="18"/>
      <c r="F5" s="18"/>
      <c r="G5" s="18"/>
      <c r="H5" s="18"/>
      <c r="I5" s="18"/>
      <c r="L5" s="18"/>
      <c r="M5" s="18"/>
      <c r="N5" s="18"/>
      <c r="O5" s="18"/>
      <c r="P5" s="18"/>
      <c r="Q5" s="18"/>
      <c r="R5" s="18"/>
      <c r="T5" s="2"/>
      <c r="V5" s="18"/>
      <c r="W5" s="18"/>
      <c r="X5" s="18"/>
      <c r="Y5" s="18"/>
      <c r="Z5" s="18"/>
      <c r="AA5" s="18"/>
      <c r="AD5" s="2">
        <f>IF(AD2=0,AD3,AD2&amp;"+"&amp;AD3)</f>
        <v>4</v>
      </c>
      <c r="AE5" s="2">
        <f>AE2</f>
        <v>4</v>
      </c>
      <c r="AF5" s="2">
        <f>IF(AF2=0,AF3,AF2&amp;"+"&amp;AF3)</f>
        <v>8</v>
      </c>
      <c r="AG5" s="2">
        <f>AG2</f>
        <v>8</v>
      </c>
      <c r="AH5" s="2">
        <f>IF(AH2=0,AH3,AH2&amp;"+"&amp;AH3)</f>
        <v>2</v>
      </c>
      <c r="AI5" s="2">
        <f>AI2</f>
        <v>2</v>
      </c>
      <c r="AJ5" s="2">
        <f>IF(AJ2=0,AJ3,AJ2&amp;"+"&amp;AJ3)</f>
        <v>6</v>
      </c>
      <c r="AK5" s="2">
        <f>AK2</f>
        <v>6</v>
      </c>
    </row>
    <row r="6" spans="1:37" x14ac:dyDescent="0.25">
      <c r="C6" s="18"/>
      <c r="D6" s="18"/>
      <c r="E6" s="18"/>
      <c r="F6" s="18"/>
      <c r="G6" s="18"/>
      <c r="H6" s="18"/>
      <c r="I6" s="84" t="s">
        <v>211</v>
      </c>
      <c r="L6" s="18"/>
      <c r="M6" s="18"/>
      <c r="N6" s="18"/>
      <c r="O6" s="18"/>
      <c r="P6" s="18"/>
      <c r="Q6" s="18"/>
      <c r="S6" s="84" t="s">
        <v>211</v>
      </c>
      <c r="T6" s="2"/>
      <c r="V6" s="18"/>
      <c r="W6" s="18"/>
      <c r="X6" s="18"/>
      <c r="Y6" s="18"/>
      <c r="Z6" s="18"/>
      <c r="AA6" s="18"/>
    </row>
    <row r="7" spans="1:37" x14ac:dyDescent="0.25">
      <c r="C7" s="18"/>
      <c r="D7" s="18"/>
      <c r="E7" s="18"/>
      <c r="F7" s="18"/>
      <c r="G7" s="18"/>
      <c r="H7" s="18"/>
      <c r="I7" s="18"/>
      <c r="L7" s="18"/>
      <c r="M7" s="18"/>
      <c r="N7" s="18"/>
      <c r="O7" s="18"/>
      <c r="P7" s="18"/>
      <c r="Q7" s="18"/>
      <c r="R7" s="18"/>
      <c r="T7" s="2"/>
      <c r="V7" s="18"/>
      <c r="W7" s="18"/>
      <c r="X7" s="18"/>
      <c r="Y7" s="18"/>
      <c r="Z7" s="18"/>
      <c r="AA7" s="18"/>
    </row>
    <row r="8" spans="1:37" x14ac:dyDescent="0.25">
      <c r="C8" s="18"/>
      <c r="D8" s="18"/>
      <c r="E8" s="18"/>
      <c r="F8" s="18"/>
      <c r="G8" s="18"/>
      <c r="H8" s="18"/>
      <c r="I8" s="18"/>
      <c r="L8" s="18"/>
      <c r="M8" s="18"/>
      <c r="N8" s="18"/>
      <c r="O8" s="18"/>
      <c r="P8" s="18"/>
      <c r="Q8" s="18"/>
      <c r="R8" s="18"/>
      <c r="V8" s="18"/>
      <c r="W8" s="18"/>
      <c r="X8" s="18"/>
      <c r="Y8" s="18"/>
      <c r="Z8" s="18"/>
      <c r="AA8" s="18"/>
    </row>
    <row r="9" spans="1:37" x14ac:dyDescent="0.25">
      <c r="B9" s="20">
        <f>IF(U15=0,0,Sheet1!N4)</f>
        <v>200</v>
      </c>
      <c r="C9" s="21"/>
      <c r="D9" s="18"/>
      <c r="E9" s="18"/>
      <c r="F9" s="18"/>
      <c r="G9" s="18"/>
      <c r="H9" s="22">
        <f>IF(AA15=0,0,Sheet1!U4)</f>
        <v>120</v>
      </c>
      <c r="I9" s="18"/>
      <c r="L9" s="85">
        <f>IF(U9=0,"N/A",AD5)</f>
        <v>4</v>
      </c>
      <c r="M9" s="18"/>
      <c r="N9" s="18"/>
      <c r="O9" s="18"/>
      <c r="P9" s="18"/>
      <c r="R9" s="120">
        <f>'Phase calculation'!I33</f>
        <v>8</v>
      </c>
      <c r="T9" s="2"/>
      <c r="U9" s="20">
        <f>Sheet1!N5</f>
        <v>1</v>
      </c>
      <c r="V9" s="21"/>
      <c r="W9" s="18"/>
      <c r="X9" s="18"/>
      <c r="Y9" s="18"/>
      <c r="Z9" s="18"/>
      <c r="AA9" s="22">
        <f>Sheet1!U5</f>
        <v>1</v>
      </c>
    </row>
    <row r="10" spans="1:37" x14ac:dyDescent="0.25">
      <c r="C10" s="23"/>
      <c r="D10" s="24"/>
      <c r="E10" s="24"/>
      <c r="F10" s="24"/>
      <c r="G10" s="24"/>
      <c r="H10" s="25"/>
      <c r="I10" s="86"/>
      <c r="L10" s="18"/>
      <c r="M10" s="24"/>
      <c r="N10" s="24"/>
      <c r="O10" s="24"/>
      <c r="P10" s="24"/>
      <c r="V10" s="23"/>
      <c r="W10" s="24"/>
      <c r="X10" s="24"/>
      <c r="Y10" s="24"/>
      <c r="Z10" s="24"/>
      <c r="AA10" s="25"/>
    </row>
    <row r="11" spans="1:37" x14ac:dyDescent="0.25">
      <c r="A11" s="26" t="str">
        <f>Sheet1!O38</f>
        <v>Major</v>
      </c>
      <c r="B11" s="20">
        <f>IF(U15=0,0,Sheet1!O4)</f>
        <v>500</v>
      </c>
      <c r="C11" s="23"/>
      <c r="D11" s="27"/>
      <c r="E11" s="28">
        <f>Sheet1!B2</f>
        <v>1</v>
      </c>
      <c r="F11" s="24"/>
      <c r="G11" s="24"/>
      <c r="H11" s="29">
        <f>IF(AA15=0,0,Sheet1!T4)</f>
        <v>500</v>
      </c>
      <c r="I11" s="87" t="str">
        <f>Sheet1!T38</f>
        <v>Major</v>
      </c>
      <c r="K11" s="26" t="str">
        <f>A11</f>
        <v>Major</v>
      </c>
      <c r="L11" s="85">
        <f>IF(U11=0,"N/A",AE5)</f>
        <v>4</v>
      </c>
      <c r="M11" s="27"/>
      <c r="N11" s="24"/>
      <c r="O11" s="24"/>
      <c r="P11" s="24"/>
      <c r="R11" s="121">
        <f>IF(AA11=0,"N/A",AG5)</f>
        <v>8</v>
      </c>
      <c r="S11" s="87" t="str">
        <f>I11</f>
        <v>Major</v>
      </c>
      <c r="U11" s="20">
        <f>Sheet1!O5</f>
        <v>3</v>
      </c>
      <c r="V11" s="23"/>
      <c r="W11" s="27"/>
      <c r="X11" s="24"/>
      <c r="Y11" s="24"/>
      <c r="Z11" s="24"/>
      <c r="AA11" s="29">
        <f>Sheet1!T5</f>
        <v>3</v>
      </c>
    </row>
    <row r="12" spans="1:37" x14ac:dyDescent="0.25">
      <c r="C12" s="18"/>
      <c r="D12" s="30"/>
      <c r="E12" s="31"/>
      <c r="F12" s="31"/>
      <c r="G12" s="31"/>
      <c r="H12" s="32"/>
      <c r="I12" s="88"/>
      <c r="L12" s="18"/>
      <c r="M12" s="30"/>
      <c r="N12" s="31"/>
      <c r="O12" s="31"/>
      <c r="P12" s="31"/>
      <c r="R12" s="51"/>
      <c r="S12" s="86"/>
      <c r="V12" s="18"/>
      <c r="W12" s="30"/>
      <c r="X12" s="31"/>
      <c r="Y12" s="31"/>
      <c r="Z12" s="31"/>
      <c r="AA12" s="32"/>
    </row>
    <row r="13" spans="1:37" x14ac:dyDescent="0.25">
      <c r="B13" s="20">
        <f>IF(U15=0,0,Sheet1!P4)</f>
        <v>100</v>
      </c>
      <c r="C13" s="18"/>
      <c r="D13" s="33"/>
      <c r="E13" s="34"/>
      <c r="F13" s="34"/>
      <c r="G13" s="35"/>
      <c r="H13" s="36">
        <f>IF(AA15=0,0,Sheet1!S4)</f>
        <v>200</v>
      </c>
      <c r="I13" s="89"/>
      <c r="L13" s="90">
        <f>'Phase calculation'!F33</f>
        <v>4</v>
      </c>
      <c r="M13" s="33"/>
      <c r="N13" s="34"/>
      <c r="O13" s="34"/>
      <c r="P13" s="35"/>
      <c r="R13" s="122">
        <f>IF(AA13=0,"N/A",AF5)</f>
        <v>8</v>
      </c>
      <c r="U13" s="20">
        <f>Sheet1!P5</f>
        <v>1</v>
      </c>
      <c r="V13" s="18"/>
      <c r="W13" s="33"/>
      <c r="X13" s="34"/>
      <c r="Y13" s="34"/>
      <c r="Z13" s="35"/>
      <c r="AA13" s="36">
        <f>Sheet1!S5</f>
        <v>1</v>
      </c>
    </row>
    <row r="14" spans="1:37" x14ac:dyDescent="0.25">
      <c r="C14" s="18"/>
      <c r="D14" s="37"/>
      <c r="E14" s="31"/>
      <c r="F14" s="31"/>
      <c r="G14" s="31"/>
      <c r="H14" s="38"/>
      <c r="I14" s="38"/>
      <c r="L14" s="18"/>
      <c r="M14" s="37"/>
      <c r="N14" s="31"/>
      <c r="O14" s="31"/>
      <c r="P14" s="31"/>
      <c r="Q14" s="38"/>
      <c r="R14" s="38"/>
      <c r="V14" s="18"/>
      <c r="W14" s="37"/>
      <c r="X14" s="31"/>
      <c r="Y14" s="31"/>
      <c r="Z14" s="31"/>
      <c r="AA14" s="38"/>
    </row>
    <row r="15" spans="1:37" x14ac:dyDescent="0.25">
      <c r="C15" s="18"/>
      <c r="D15" s="39"/>
      <c r="E15" s="31"/>
      <c r="F15" s="31" t="s">
        <v>216</v>
      </c>
      <c r="G15" s="31"/>
      <c r="H15" s="31"/>
      <c r="I15" s="31"/>
      <c r="L15" s="18"/>
      <c r="M15" s="39"/>
      <c r="N15" s="31"/>
      <c r="O15" s="31" t="s">
        <v>216</v>
      </c>
      <c r="P15" s="31"/>
      <c r="Q15" s="31"/>
      <c r="R15" s="31"/>
      <c r="U15" s="123">
        <f>SUM(U9:U13)+AA11</f>
        <v>8</v>
      </c>
      <c r="V15" s="18"/>
      <c r="W15" s="39"/>
      <c r="X15" s="31"/>
      <c r="Y15" s="31" t="s">
        <v>216</v>
      </c>
      <c r="Z15" s="31"/>
      <c r="AA15" s="137">
        <f>SUM(AA9:AA13)+U11</f>
        <v>8</v>
      </c>
    </row>
    <row r="16" spans="1:37" x14ac:dyDescent="0.25">
      <c r="C16" s="18"/>
      <c r="D16" s="40"/>
      <c r="E16" s="41"/>
      <c r="F16" s="42"/>
      <c r="G16" s="31"/>
      <c r="H16" s="31"/>
      <c r="I16" s="31"/>
      <c r="L16" s="18"/>
      <c r="M16" s="40"/>
      <c r="P16" s="31"/>
      <c r="Q16" s="31"/>
      <c r="R16" s="31"/>
      <c r="V16" s="18"/>
      <c r="W16" s="40"/>
      <c r="X16" s="41"/>
      <c r="Y16" s="42"/>
      <c r="Z16" s="31"/>
      <c r="AA16" s="31"/>
    </row>
    <row r="17" spans="1:26" x14ac:dyDescent="0.25">
      <c r="D17" s="43">
        <f>IF(Z17=0,0,Sheet1!D4+Sheet1!Z4+Sheet1!W4)</f>
        <v>75</v>
      </c>
      <c r="E17" s="43">
        <f>IF(Z17=0,0,Sheet1!E4+Sheet1!X4+Sheet1!AA4)</f>
        <v>650</v>
      </c>
      <c r="F17" s="43">
        <f>IF(Z17=0,0,Sheet1!F4+Sheet1!Y4+Sheet1!AB4)</f>
        <v>60</v>
      </c>
      <c r="N17" s="91">
        <f>IF(W17=0,"N/A",AH5)</f>
        <v>2</v>
      </c>
      <c r="O17" s="92">
        <f>IF(X17=0,"N/A",AI5)</f>
        <v>2</v>
      </c>
      <c r="P17" s="82">
        <f>'Phase calculation'!L33</f>
        <v>2</v>
      </c>
      <c r="W17" s="43">
        <f>Sheet1!D5+Sheet1!W5+Sheet1!Z5</f>
        <v>1</v>
      </c>
      <c r="X17" s="43">
        <f>Sheet1!E5+Sheet1!X5+Sheet1!AA5</f>
        <v>2</v>
      </c>
      <c r="Y17" s="43">
        <f>Sheet1!F5+Sheet1!Y5+Sheet1!AB5</f>
        <v>1</v>
      </c>
      <c r="Z17" s="123">
        <f>SUM(W17:Y17)+X4</f>
        <v>6</v>
      </c>
    </row>
    <row r="18" spans="1:26" x14ac:dyDescent="0.25">
      <c r="D18" s="468" t="str">
        <f>Sheet1!E38</f>
        <v>Minor</v>
      </c>
      <c r="E18" s="468"/>
      <c r="F18" s="468"/>
      <c r="N18" s="468" t="str">
        <f>D18</f>
        <v>Minor</v>
      </c>
      <c r="O18" s="468"/>
      <c r="P18" s="468"/>
    </row>
    <row r="20" spans="1:26" x14ac:dyDescent="0.25">
      <c r="B20" s="475" t="s">
        <v>563</v>
      </c>
      <c r="C20" s="475"/>
      <c r="D20" s="475"/>
      <c r="E20" s="475"/>
      <c r="F20" s="475"/>
      <c r="G20" s="475"/>
      <c r="H20" s="45"/>
      <c r="L20" s="428" t="s">
        <v>564</v>
      </c>
      <c r="M20" s="428"/>
      <c r="N20" s="428"/>
      <c r="O20" s="428"/>
      <c r="P20" s="428"/>
      <c r="Q20" s="428"/>
    </row>
    <row r="21" spans="1:26" x14ac:dyDescent="0.25">
      <c r="D21" s="468" t="str">
        <f>D3</f>
        <v>Minor</v>
      </c>
      <c r="E21" s="468"/>
      <c r="F21" s="468"/>
      <c r="N21" s="468" t="str">
        <f>D3</f>
        <v>Minor</v>
      </c>
      <c r="O21" s="468"/>
      <c r="P21" s="468"/>
    </row>
    <row r="22" spans="1:26" x14ac:dyDescent="0.25">
      <c r="B22" s="18"/>
      <c r="C22" s="18"/>
      <c r="D22" s="46">
        <f>'Phase calculation'!O34</f>
        <v>44</v>
      </c>
      <c r="E22" s="47">
        <f>IF(X4=0,0,'Phase calculation'!N34)</f>
        <v>44</v>
      </c>
      <c r="F22" s="47">
        <f>IF(Z17=0,'Phase calculation'!N34,'Phase calculation'!M34)</f>
        <v>0</v>
      </c>
      <c r="G22" s="18"/>
      <c r="H22" s="18"/>
      <c r="I22" s="18"/>
      <c r="L22" s="18"/>
      <c r="M22" s="18"/>
      <c r="N22" s="5">
        <f>'Phase calculation'!O41</f>
        <v>765</v>
      </c>
      <c r="O22" s="93">
        <f>IF(X4=0,"N/A",'Phase calculation'!N41)</f>
        <v>1530</v>
      </c>
      <c r="P22" s="93">
        <f>IF(Y4=0,"N/A",'Phase calculation'!M41)</f>
        <v>107</v>
      </c>
      <c r="Q22" s="18"/>
    </row>
    <row r="23" spans="1:26" x14ac:dyDescent="0.25">
      <c r="B23" s="18"/>
      <c r="C23" s="18"/>
      <c r="D23" s="18"/>
      <c r="E23" s="18"/>
      <c r="G23" s="18"/>
      <c r="H23" s="18"/>
      <c r="I23" s="18"/>
      <c r="L23" s="18"/>
      <c r="M23" s="18"/>
      <c r="N23" s="18"/>
      <c r="O23" s="18"/>
      <c r="P23" s="18"/>
      <c r="Q23" s="18"/>
    </row>
    <row r="24" spans="1:26" x14ac:dyDescent="0.25">
      <c r="B24" s="18"/>
      <c r="C24" s="18"/>
      <c r="D24" s="18"/>
      <c r="E24" s="18"/>
      <c r="G24" s="18"/>
      <c r="H24" s="18"/>
      <c r="I24" s="84" t="s">
        <v>211</v>
      </c>
      <c r="L24" s="18"/>
      <c r="M24" s="18"/>
      <c r="N24" s="18"/>
      <c r="O24" s="18"/>
      <c r="P24" s="18"/>
      <c r="Q24" s="18"/>
      <c r="S24" s="84" t="s">
        <v>211</v>
      </c>
    </row>
    <row r="25" spans="1:26" x14ac:dyDescent="0.25">
      <c r="B25" s="18"/>
      <c r="C25" s="18"/>
      <c r="D25" s="18"/>
      <c r="E25" s="18"/>
      <c r="G25" s="18"/>
      <c r="H25" s="18"/>
      <c r="I25" s="18"/>
      <c r="L25" s="18"/>
      <c r="M25" s="18"/>
      <c r="N25" s="18"/>
      <c r="O25" s="18"/>
      <c r="P25" s="18"/>
      <c r="Q25" s="18"/>
    </row>
    <row r="26" spans="1:26" x14ac:dyDescent="0.25">
      <c r="B26" s="18"/>
      <c r="C26" s="18"/>
      <c r="D26" s="18"/>
      <c r="E26" s="18"/>
      <c r="G26" s="18"/>
      <c r="H26" s="18"/>
      <c r="I26" s="18"/>
      <c r="L26" s="18"/>
      <c r="M26" s="18"/>
      <c r="N26" s="18"/>
      <c r="O26" s="18"/>
      <c r="P26" s="18"/>
      <c r="Q26" s="18"/>
    </row>
    <row r="27" spans="1:26" x14ac:dyDescent="0.25">
      <c r="B27" s="48">
        <f>IF(AA15=0,'Phase calculation'!E34,'Phase calculation'!D34)</f>
        <v>0</v>
      </c>
      <c r="C27" s="18"/>
      <c r="E27" s="49"/>
      <c r="G27" s="18"/>
      <c r="H27" s="50">
        <f>'Phase calculation'!I34</f>
        <v>36</v>
      </c>
      <c r="L27" s="94">
        <f>IF(U9=0,"N/A",'Phase calculation'!D41)</f>
        <v>112</v>
      </c>
      <c r="M27" s="18"/>
      <c r="N27" s="49"/>
      <c r="O27" s="49"/>
      <c r="P27" s="18"/>
      <c r="R27" s="124">
        <f>'Phase calculation'!I41</f>
        <v>612</v>
      </c>
    </row>
    <row r="28" spans="1:26" x14ac:dyDescent="0.25">
      <c r="B28" s="18"/>
      <c r="C28" s="24"/>
      <c r="D28" s="49"/>
      <c r="E28" s="471" t="str">
        <f>IF(E22+F22+H27+H29+E35+D35+B29+B27=0,0,"C = "&amp;'Phase calculation'!D25&amp;" s")</f>
        <v>C = 80 s</v>
      </c>
      <c r="G28" s="24"/>
      <c r="H28" s="51"/>
      <c r="I28" s="86"/>
      <c r="L28" s="95"/>
      <c r="M28" s="24"/>
      <c r="N28" s="49"/>
      <c r="O28" s="49"/>
      <c r="P28" s="24"/>
    </row>
    <row r="29" spans="1:26" x14ac:dyDescent="0.25">
      <c r="A29" s="26" t="str">
        <f>A11</f>
        <v>Major</v>
      </c>
      <c r="B29" s="52">
        <f>IF(U11=0,0,'Phase calculation'!E34)</f>
        <v>36</v>
      </c>
      <c r="C29" s="27"/>
      <c r="D29" s="24"/>
      <c r="E29" s="471"/>
      <c r="G29" s="24"/>
      <c r="H29" s="53">
        <f>IF(AA11=0,0,'Phase calculation'!H34)</f>
        <v>36</v>
      </c>
      <c r="I29" s="96" t="str">
        <f>I11</f>
        <v>Major</v>
      </c>
      <c r="K29" s="26" t="str">
        <f>A11</f>
        <v>Major</v>
      </c>
      <c r="L29" s="94">
        <f>IF(U11=0,"N/A",'Phase calculation'!E41)</f>
        <v>1836</v>
      </c>
      <c r="M29" s="27"/>
      <c r="N29" s="24"/>
      <c r="O29" s="24"/>
      <c r="P29" s="24"/>
      <c r="R29" s="125">
        <f>IF(AA11=0,"N/A",'Phase calculation'!H41)</f>
        <v>1836</v>
      </c>
      <c r="S29" s="26" t="str">
        <f>I11</f>
        <v>Major</v>
      </c>
    </row>
    <row r="30" spans="1:26" x14ac:dyDescent="0.25">
      <c r="B30" s="18"/>
      <c r="C30" s="30"/>
      <c r="D30" s="31"/>
      <c r="E30" s="471"/>
      <c r="G30" s="31"/>
      <c r="H30" s="27"/>
      <c r="I30" s="88"/>
      <c r="L30" s="18"/>
      <c r="M30" s="30"/>
      <c r="N30" s="31"/>
      <c r="O30" s="31"/>
      <c r="P30" s="31"/>
      <c r="Q30" s="27"/>
      <c r="R30" s="51"/>
    </row>
    <row r="31" spans="1:26" x14ac:dyDescent="0.25">
      <c r="B31" s="52">
        <f>'Phase calculation'!F34</f>
        <v>36</v>
      </c>
      <c r="C31" s="33"/>
      <c r="D31" s="34"/>
      <c r="E31" s="34"/>
      <c r="F31" s="35"/>
      <c r="G31" s="31"/>
      <c r="H31" s="54">
        <f>IF(U15=0,'Phase calculation'!H34,'Phase calculation'!G34)</f>
        <v>0</v>
      </c>
      <c r="L31" s="97">
        <f>'Phase calculation'!F41</f>
        <v>612</v>
      </c>
      <c r="M31" s="33"/>
      <c r="N31" s="34"/>
      <c r="O31" s="34"/>
      <c r="P31" s="35"/>
      <c r="Q31" s="31"/>
      <c r="R31" s="126">
        <f>IF(AA13=0,"N/A",'Phase calculation'!G41)</f>
        <v>112</v>
      </c>
    </row>
    <row r="32" spans="1:26" x14ac:dyDescent="0.25">
      <c r="B32" s="18"/>
      <c r="C32" s="37"/>
      <c r="D32" s="31"/>
      <c r="E32" s="31"/>
      <c r="F32" s="31"/>
      <c r="G32" s="38"/>
      <c r="H32" s="38"/>
      <c r="L32" s="18"/>
      <c r="M32" s="37"/>
      <c r="N32" s="31"/>
      <c r="O32" s="31"/>
      <c r="P32" s="31"/>
      <c r="Q32" s="38"/>
    </row>
    <row r="33" spans="2:20" x14ac:dyDescent="0.25">
      <c r="B33" s="18"/>
      <c r="C33" s="39"/>
      <c r="D33" s="31"/>
      <c r="E33" s="31" t="s">
        <v>216</v>
      </c>
      <c r="F33" s="31"/>
      <c r="G33" s="31"/>
      <c r="H33" s="31"/>
      <c r="L33" s="18"/>
      <c r="M33" s="39"/>
      <c r="N33" s="31"/>
      <c r="O33" s="31" t="s">
        <v>216</v>
      </c>
      <c r="P33" s="31"/>
      <c r="Q33" s="31"/>
    </row>
    <row r="34" spans="2:20" x14ac:dyDescent="0.25">
      <c r="B34" s="18"/>
      <c r="C34" s="40"/>
      <c r="F34" s="31"/>
      <c r="G34" s="31"/>
      <c r="H34" s="31"/>
      <c r="L34" s="18"/>
      <c r="M34" s="40"/>
      <c r="P34" s="31"/>
      <c r="Q34" s="31"/>
    </row>
    <row r="35" spans="2:20" x14ac:dyDescent="0.25">
      <c r="D35" s="55">
        <f>IF(Z4=0,'Phase calculation'!K34,'Phase calculation'!J34)</f>
        <v>0</v>
      </c>
      <c r="E35" s="56">
        <f>IF(X17=0,0,'Phase calculation'!K34)</f>
        <v>44</v>
      </c>
      <c r="F35" s="46">
        <f>'Phase calculation'!L34</f>
        <v>44</v>
      </c>
      <c r="N35" s="98">
        <f>IF(W17=0,"N/A",'Phase calculation'!J41)</f>
        <v>104</v>
      </c>
      <c r="O35" s="99">
        <f>IF(X17=0,"N/A",'Phase calculation'!K41)</f>
        <v>1530</v>
      </c>
      <c r="P35" s="5">
        <f>'Phase calculation'!L41</f>
        <v>765</v>
      </c>
    </row>
    <row r="36" spans="2:20" x14ac:dyDescent="0.25">
      <c r="D36" s="468" t="str">
        <f>D18</f>
        <v>Minor</v>
      </c>
      <c r="E36" s="468"/>
      <c r="F36" s="468"/>
      <c r="G36" s="15"/>
      <c r="H36" s="15"/>
      <c r="I36" s="15"/>
      <c r="J36" s="15"/>
      <c r="K36" s="15"/>
      <c r="L36" s="15"/>
      <c r="M36" s="15"/>
      <c r="N36" s="468" t="str">
        <f>D18</f>
        <v>Minor</v>
      </c>
      <c r="O36" s="468"/>
      <c r="P36" s="468"/>
    </row>
    <row r="37" spans="2:20" x14ac:dyDescent="0.25">
      <c r="D37" s="57"/>
      <c r="E37" s="57"/>
      <c r="F37" s="15"/>
      <c r="G37" s="15"/>
      <c r="H37" s="15"/>
      <c r="I37" s="15"/>
      <c r="J37" s="15"/>
      <c r="K37" s="15"/>
      <c r="L37" s="15"/>
      <c r="M37" s="15"/>
    </row>
    <row r="39" spans="2:20" x14ac:dyDescent="0.25">
      <c r="M39" s="473" t="s">
        <v>565</v>
      </c>
      <c r="N39" s="473"/>
      <c r="O39" s="473"/>
      <c r="P39" s="473"/>
      <c r="Q39" s="473"/>
      <c r="R39" s="473"/>
      <c r="S39" s="473"/>
    </row>
    <row r="40" spans="2:20" x14ac:dyDescent="0.25">
      <c r="B40" s="474" t="s">
        <v>566</v>
      </c>
      <c r="C40" s="474"/>
      <c r="D40" s="474"/>
      <c r="E40" s="474"/>
      <c r="F40" s="474"/>
      <c r="G40" s="474"/>
      <c r="L40" s="100"/>
      <c r="M40" s="100"/>
      <c r="O40" s="468" t="str">
        <f>D3</f>
        <v>Minor</v>
      </c>
      <c r="P40" s="468"/>
      <c r="Q40" s="468"/>
    </row>
    <row r="41" spans="2:20" x14ac:dyDescent="0.25">
      <c r="D41" s="468" t="str">
        <f>D3</f>
        <v>Minor</v>
      </c>
      <c r="E41" s="468"/>
      <c r="F41" s="468"/>
      <c r="O41" s="470">
        <f>'Phase calculation'!M46</f>
        <v>21.902857142857144</v>
      </c>
      <c r="P41" s="470"/>
      <c r="Q41" s="470"/>
    </row>
    <row r="42" spans="2:20" x14ac:dyDescent="0.25">
      <c r="B42" s="59"/>
      <c r="C42" s="59"/>
      <c r="D42" s="60">
        <f>'Phase calculation'!O40</f>
        <v>0.11764705882352941</v>
      </c>
      <c r="E42" s="61">
        <f>IF(X4=0,"N/A",'Phase calculation'!N40)</f>
        <v>0.56000000000000005</v>
      </c>
      <c r="F42" s="61">
        <f>IF(Y4=0,"N/A",'Phase calculation'!M40)</f>
        <v>0.93</v>
      </c>
      <c r="G42" s="59"/>
      <c r="M42" s="102"/>
      <c r="N42" s="102"/>
      <c r="O42" s="103">
        <f>'Phase calculation'!O44</f>
        <v>10.940000000000001</v>
      </c>
      <c r="P42" s="104">
        <f>IF(X4=0,"N/A",'Phase calculation'!N44)</f>
        <v>15.38</v>
      </c>
      <c r="Q42" s="104">
        <f>IF(Y4=0,"N/A",'Phase calculation'!M44)</f>
        <v>88.31</v>
      </c>
      <c r="R42" s="102"/>
    </row>
    <row r="43" spans="2:20" x14ac:dyDescent="0.25">
      <c r="B43" s="59"/>
      <c r="C43" s="59"/>
      <c r="D43" s="59"/>
      <c r="E43" s="59"/>
      <c r="F43" s="59"/>
      <c r="G43" s="59"/>
      <c r="M43" s="102"/>
      <c r="N43" s="102"/>
      <c r="O43" s="102"/>
      <c r="P43" s="102"/>
      <c r="Q43" s="102"/>
      <c r="R43" s="102"/>
    </row>
    <row r="44" spans="2:20" x14ac:dyDescent="0.25">
      <c r="B44" s="59"/>
      <c r="C44" s="59"/>
      <c r="D44" s="59"/>
      <c r="E44" s="59"/>
      <c r="F44" s="59"/>
      <c r="G44" s="59"/>
      <c r="I44" s="84" t="s">
        <v>211</v>
      </c>
      <c r="M44" s="102"/>
      <c r="N44" s="102"/>
      <c r="O44" s="102"/>
      <c r="P44" s="102"/>
      <c r="Q44" s="102"/>
      <c r="R44" s="102"/>
      <c r="T44" s="84" t="s">
        <v>211</v>
      </c>
    </row>
    <row r="45" spans="2:20" x14ac:dyDescent="0.25">
      <c r="B45" s="59"/>
      <c r="C45" s="59"/>
      <c r="D45" s="59"/>
      <c r="E45" s="59"/>
      <c r="F45" s="59"/>
      <c r="G45" s="59"/>
      <c r="M45" s="102"/>
      <c r="N45" s="102"/>
      <c r="O45" s="102"/>
      <c r="P45" s="102"/>
      <c r="Q45" s="102"/>
      <c r="R45" s="102"/>
    </row>
    <row r="46" spans="2:20" x14ac:dyDescent="0.25">
      <c r="B46" s="59"/>
      <c r="C46" s="59"/>
      <c r="D46" s="59"/>
      <c r="E46" s="59"/>
      <c r="F46" s="59"/>
      <c r="G46" s="59"/>
      <c r="M46" s="102"/>
      <c r="N46" s="102"/>
      <c r="O46" s="102"/>
      <c r="P46" s="102"/>
      <c r="Q46" s="102"/>
      <c r="R46" s="102"/>
    </row>
    <row r="47" spans="2:20" x14ac:dyDescent="0.25">
      <c r="B47" s="62">
        <f>IF(U9=0,"N/A",'Phase calculation'!D40)</f>
        <v>1.79</v>
      </c>
      <c r="C47" s="59"/>
      <c r="H47" s="63">
        <f>'Phase calculation'!I40</f>
        <v>0.17647058823529413</v>
      </c>
      <c r="M47" s="105">
        <f>IF(U9=0,"N/A",'Phase calculation'!D44)</f>
        <v>412.8</v>
      </c>
      <c r="N47" s="102"/>
      <c r="P47" s="106"/>
      <c r="Q47" s="102"/>
      <c r="S47" s="127">
        <f>'Phase calculation'!I44</f>
        <v>16.12</v>
      </c>
    </row>
    <row r="48" spans="2:20" x14ac:dyDescent="0.25">
      <c r="B48" s="59"/>
      <c r="C48" s="64"/>
      <c r="D48" s="472">
        <f>'Phase calculation'!U82</f>
        <v>0.39</v>
      </c>
      <c r="E48" s="472"/>
      <c r="F48" s="472"/>
      <c r="M48" s="102"/>
      <c r="N48" s="107"/>
      <c r="O48" s="467">
        <f>'Phase calculation'!U84</f>
        <v>64.72</v>
      </c>
      <c r="P48" s="467"/>
      <c r="Q48" s="467"/>
    </row>
    <row r="49" spans="1:21" x14ac:dyDescent="0.25">
      <c r="A49" s="26" t="str">
        <f>A11</f>
        <v>Major</v>
      </c>
      <c r="B49" s="62">
        <f>IF(U11=0,"N/A",'Phase calculation'!E40)</f>
        <v>0.27</v>
      </c>
      <c r="C49" s="65"/>
      <c r="D49" s="472" t="str">
        <f>'Phase calculation'!D52</f>
        <v>Under Capacity</v>
      </c>
      <c r="E49" s="472"/>
      <c r="F49" s="472"/>
      <c r="H49" s="66">
        <f>IF(AA11=0,"N/A",'Phase calculation'!H40)</f>
        <v>0.27</v>
      </c>
      <c r="I49" s="26" t="str">
        <f>I11</f>
        <v>Major</v>
      </c>
      <c r="K49" s="26" t="str">
        <f>A11</f>
        <v>Major</v>
      </c>
      <c r="L49" s="101">
        <f>'Phase calculation'!D46</f>
        <v>115.48875</v>
      </c>
      <c r="M49" s="105">
        <f>IF(U11=0,"N/A",'Phase calculation'!E44)</f>
        <v>16.5</v>
      </c>
      <c r="N49" s="108"/>
      <c r="O49" s="467"/>
      <c r="P49" s="467"/>
      <c r="Q49" s="467"/>
      <c r="S49" s="128">
        <f>IF(AA11=0,"N/A",'Phase calculation'!H44)</f>
        <v>16.5</v>
      </c>
      <c r="T49" s="101">
        <f>'Phase calculation'!G46</f>
        <v>113.46796589524969</v>
      </c>
      <c r="U49" s="26" t="str">
        <f>I11</f>
        <v>Major</v>
      </c>
    </row>
    <row r="50" spans="1:21" x14ac:dyDescent="0.25">
      <c r="B50" s="59"/>
      <c r="C50" s="67"/>
      <c r="D50" s="68"/>
      <c r="E50" s="68"/>
      <c r="F50" s="68"/>
      <c r="G50" s="65"/>
      <c r="H50" s="69"/>
      <c r="M50" s="102"/>
      <c r="N50" s="109"/>
      <c r="O50" s="467"/>
      <c r="P50" s="467"/>
      <c r="Q50" s="467"/>
      <c r="R50" s="108"/>
      <c r="S50" s="129"/>
    </row>
    <row r="51" spans="1:21" x14ac:dyDescent="0.25">
      <c r="B51" s="70">
        <f>'Phase calculation'!F40</f>
        <v>0.14705882352941177</v>
      </c>
      <c r="C51" s="33"/>
      <c r="D51" s="71"/>
      <c r="E51" s="71"/>
      <c r="F51" s="72"/>
      <c r="G51" s="68"/>
      <c r="H51" s="73">
        <f>IF(AA13=0,"N/A",'Phase calculation'!G40)</f>
        <v>1.79</v>
      </c>
      <c r="M51" s="110">
        <f>'Phase calculation'!F44</f>
        <v>15.81</v>
      </c>
      <c r="N51" s="111"/>
      <c r="O51" s="112"/>
      <c r="P51" s="112"/>
      <c r="Q51" s="130"/>
      <c r="R51" s="114"/>
      <c r="S51" s="131">
        <f>IF(AA13=0,"N/A",'Phase calculation'!G44)</f>
        <v>412.8</v>
      </c>
    </row>
    <row r="52" spans="1:21" x14ac:dyDescent="0.25">
      <c r="B52" s="59"/>
      <c r="C52" s="74"/>
      <c r="D52" s="68"/>
      <c r="E52" s="68"/>
      <c r="F52" s="68"/>
      <c r="G52" s="75"/>
      <c r="M52" s="102"/>
      <c r="N52" s="113"/>
      <c r="O52" s="114"/>
      <c r="P52" s="114"/>
      <c r="Q52" s="114"/>
      <c r="R52" s="132"/>
    </row>
    <row r="53" spans="1:21" x14ac:dyDescent="0.25">
      <c r="B53" s="59"/>
      <c r="C53" s="76"/>
      <c r="D53" s="68"/>
      <c r="E53" s="68" t="s">
        <v>216</v>
      </c>
      <c r="F53" s="68"/>
      <c r="G53" s="68"/>
      <c r="M53" s="102"/>
      <c r="N53" s="115"/>
      <c r="O53" s="114"/>
      <c r="P53" s="114" t="s">
        <v>216</v>
      </c>
      <c r="Q53" s="114"/>
      <c r="R53" s="114"/>
    </row>
    <row r="54" spans="1:21" x14ac:dyDescent="0.25">
      <c r="B54" s="59"/>
      <c r="C54" s="77"/>
      <c r="G54" s="68"/>
      <c r="M54" s="102"/>
      <c r="N54" s="116"/>
      <c r="Q54" s="114"/>
      <c r="R54" s="114"/>
    </row>
    <row r="55" spans="1:21" x14ac:dyDescent="0.25">
      <c r="D55" s="78">
        <f>IF(W17=0,"N/A",'Phase calculation'!J40)</f>
        <v>0.72</v>
      </c>
      <c r="E55" s="79">
        <f>IF(X17=0,"N/A",'Phase calculation'!K40)</f>
        <v>0.42</v>
      </c>
      <c r="F55" s="78">
        <f>'Phase calculation'!L40</f>
        <v>7.0588235294117646E-2</v>
      </c>
      <c r="O55" s="117">
        <f>IF(W17=0,"N/A",'Phase calculation'!J44)</f>
        <v>50.49</v>
      </c>
      <c r="P55" s="118">
        <f>IF(X17=0,"N/A",'Phase calculation'!K44)</f>
        <v>13.51</v>
      </c>
      <c r="Q55" s="103">
        <f>'Phase calculation'!L44</f>
        <v>10.549999999999999</v>
      </c>
    </row>
    <row r="56" spans="1:21" x14ac:dyDescent="0.25">
      <c r="D56" s="468" t="str">
        <f>D18</f>
        <v>Minor</v>
      </c>
      <c r="E56" s="468"/>
      <c r="F56" s="468"/>
      <c r="O56" s="470">
        <f>'Phase calculation'!J46</f>
        <v>16.816878980891719</v>
      </c>
      <c r="P56" s="470"/>
      <c r="Q56" s="470"/>
    </row>
    <row r="57" spans="1:21" x14ac:dyDescent="0.25">
      <c r="D57" s="80"/>
      <c r="E57" s="80"/>
      <c r="O57" s="468" t="str">
        <f>D18</f>
        <v>Minor</v>
      </c>
      <c r="P57" s="468"/>
      <c r="Q57" s="468"/>
    </row>
    <row r="58" spans="1:21" x14ac:dyDescent="0.25">
      <c r="G58" s="469" t="s">
        <v>567</v>
      </c>
      <c r="H58" s="469"/>
      <c r="I58" s="469"/>
      <c r="J58" s="469"/>
      <c r="K58" s="469"/>
      <c r="L58" s="469"/>
      <c r="M58" s="45"/>
    </row>
    <row r="59" spans="1:21" x14ac:dyDescent="0.25">
      <c r="I59" s="468" t="str">
        <f>D3</f>
        <v>Minor</v>
      </c>
      <c r="J59" s="468"/>
      <c r="K59" s="468"/>
    </row>
    <row r="60" spans="1:21" s="15" customFormat="1" x14ac:dyDescent="0.25">
      <c r="I60" s="57"/>
      <c r="J60" s="119" t="str">
        <f>'Phase calculation'!M47</f>
        <v>C</v>
      </c>
      <c r="K60" s="57"/>
    </row>
    <row r="61" spans="1:21" x14ac:dyDescent="0.25">
      <c r="G61" s="23"/>
      <c r="H61" s="23"/>
      <c r="I61" s="100" t="str">
        <f>'Phase calculation'!O45</f>
        <v>B</v>
      </c>
      <c r="J61" s="100" t="str">
        <f>'Phase calculation'!N45</f>
        <v>B</v>
      </c>
      <c r="K61" s="100" t="str">
        <f>'Phase calculation'!M45</f>
        <v>F</v>
      </c>
      <c r="L61" s="23"/>
      <c r="M61" s="18"/>
      <c r="P61" s="2" t="s">
        <v>53</v>
      </c>
      <c r="Q61" s="2" t="s">
        <v>389</v>
      </c>
    </row>
    <row r="62" spans="1:21" x14ac:dyDescent="0.25">
      <c r="G62" s="23"/>
      <c r="H62" s="23"/>
      <c r="I62" s="23"/>
      <c r="J62" s="23"/>
      <c r="K62" s="23"/>
      <c r="L62" s="23"/>
      <c r="M62" s="18"/>
      <c r="P62" s="2" t="s">
        <v>391</v>
      </c>
      <c r="Q62" s="133"/>
    </row>
    <row r="63" spans="1:21" x14ac:dyDescent="0.25">
      <c r="G63" s="23"/>
      <c r="H63" s="23"/>
      <c r="I63" s="23"/>
      <c r="J63" s="23"/>
      <c r="K63" s="23"/>
      <c r="L63" s="23"/>
      <c r="N63" s="84" t="s">
        <v>211</v>
      </c>
      <c r="P63" s="2" t="s">
        <v>396</v>
      </c>
      <c r="Q63" s="134"/>
    </row>
    <row r="64" spans="1:21" x14ac:dyDescent="0.25">
      <c r="G64" s="23"/>
      <c r="H64" s="23"/>
      <c r="I64" s="23"/>
      <c r="J64" s="23"/>
      <c r="K64" s="23"/>
      <c r="L64" s="23"/>
      <c r="M64" s="18"/>
      <c r="P64" s="2" t="s">
        <v>397</v>
      </c>
      <c r="Q64" s="135"/>
    </row>
    <row r="65" spans="5:17" x14ac:dyDescent="0.25">
      <c r="G65" s="23"/>
      <c r="H65" s="23"/>
      <c r="I65" s="23"/>
      <c r="J65" s="23"/>
      <c r="K65" s="23"/>
      <c r="L65" s="23"/>
      <c r="M65" s="18"/>
      <c r="P65" s="2" t="s">
        <v>399</v>
      </c>
      <c r="Q65" s="9"/>
    </row>
    <row r="66" spans="5:17" ht="15" customHeight="1" x14ac:dyDescent="0.25">
      <c r="G66" s="138" t="str">
        <f>'Phase calculation'!D45</f>
        <v>F</v>
      </c>
      <c r="H66" s="23"/>
      <c r="J66" s="151"/>
      <c r="K66" s="23"/>
      <c r="M66" s="152" t="str">
        <f>'Phase calculation'!I45</f>
        <v>B</v>
      </c>
      <c r="P66" s="2" t="s">
        <v>406</v>
      </c>
      <c r="Q66" s="161"/>
    </row>
    <row r="67" spans="5:17" ht="15" customHeight="1" x14ac:dyDescent="0.25">
      <c r="G67" s="139"/>
      <c r="H67" s="86"/>
      <c r="I67" s="466" t="str">
        <f>'Phase calculation'!V84</f>
        <v>E</v>
      </c>
      <c r="J67" s="466"/>
      <c r="K67" s="466"/>
      <c r="P67" s="2" t="s">
        <v>407</v>
      </c>
      <c r="Q67" s="162"/>
    </row>
    <row r="68" spans="5:17" ht="15" customHeight="1" x14ac:dyDescent="0.25">
      <c r="E68" s="26" t="str">
        <f>A11</f>
        <v>Major</v>
      </c>
      <c r="F68" s="119" t="str">
        <f>'Phase calculation'!D47</f>
        <v>F</v>
      </c>
      <c r="G68" s="139" t="str">
        <f>'Phase calculation'!E45</f>
        <v>B</v>
      </c>
      <c r="H68" s="140"/>
      <c r="I68" s="466"/>
      <c r="J68" s="466"/>
      <c r="K68" s="466"/>
      <c r="M68" s="152" t="str">
        <f>'Phase calculation'!H45</f>
        <v>B</v>
      </c>
      <c r="N68" s="119" t="str">
        <f>'Phase calculation'!G47</f>
        <v>F</v>
      </c>
      <c r="O68" s="96" t="str">
        <f>I11</f>
        <v>Major</v>
      </c>
    </row>
    <row r="69" spans="5:17" ht="15" customHeight="1" x14ac:dyDescent="0.25">
      <c r="G69" s="23"/>
      <c r="H69" s="141"/>
      <c r="I69" s="466"/>
      <c r="J69" s="466"/>
      <c r="K69" s="466"/>
      <c r="L69" s="140"/>
      <c r="M69" s="153"/>
      <c r="N69" s="86"/>
    </row>
    <row r="70" spans="5:17" x14ac:dyDescent="0.25">
      <c r="G70" s="139" t="str">
        <f>'Phase calculation'!F45</f>
        <v>B</v>
      </c>
      <c r="H70" s="33"/>
      <c r="I70" s="34"/>
      <c r="J70" s="34"/>
      <c r="K70" s="154"/>
      <c r="L70" s="89"/>
      <c r="M70" s="153" t="str">
        <f>'Phase calculation'!G45</f>
        <v>F</v>
      </c>
      <c r="N70" s="86"/>
    </row>
    <row r="71" spans="5:17" x14ac:dyDescent="0.25">
      <c r="G71" s="23"/>
      <c r="H71" s="39"/>
      <c r="I71" s="89"/>
      <c r="J71" s="89"/>
      <c r="K71" s="89"/>
      <c r="L71" s="155"/>
      <c r="M71" s="38"/>
    </row>
    <row r="72" spans="5:17" x14ac:dyDescent="0.25">
      <c r="G72" s="23"/>
      <c r="H72" s="39"/>
      <c r="I72" s="89"/>
      <c r="J72" s="89" t="s">
        <v>216</v>
      </c>
      <c r="K72" s="89"/>
      <c r="L72" s="89"/>
      <c r="M72" s="31"/>
    </row>
    <row r="73" spans="5:17" x14ac:dyDescent="0.25">
      <c r="G73" s="23"/>
      <c r="H73" s="40"/>
      <c r="K73" s="89"/>
      <c r="L73" s="89"/>
      <c r="M73" s="31"/>
    </row>
    <row r="74" spans="5:17" x14ac:dyDescent="0.25">
      <c r="I74" s="119" t="str">
        <f>'Phase calculation'!J45</f>
        <v>D</v>
      </c>
      <c r="J74" s="156" t="str">
        <f>'Phase calculation'!K45</f>
        <v>B</v>
      </c>
      <c r="K74" s="100" t="str">
        <f>'Phase calculation'!L45</f>
        <v>B</v>
      </c>
    </row>
    <row r="75" spans="5:17" x14ac:dyDescent="0.25">
      <c r="J75" s="119" t="str">
        <f>'Phase calculation'!J47</f>
        <v>B</v>
      </c>
    </row>
    <row r="76" spans="5:17" s="15" customFormat="1" x14ac:dyDescent="0.25">
      <c r="I76" s="468" t="str">
        <f>D18</f>
        <v>Minor</v>
      </c>
      <c r="J76" s="468"/>
      <c r="K76" s="468"/>
    </row>
    <row r="78" spans="5:17" hidden="1" x14ac:dyDescent="0.25"/>
    <row r="79" spans="5:17" s="16" customFormat="1" hidden="1" x14ac:dyDescent="0.25"/>
    <row r="80" spans="5:17" s="16" customFormat="1" hidden="1" x14ac:dyDescent="0.25"/>
    <row r="81" spans="6:19" s="16" customFormat="1" hidden="1" x14ac:dyDescent="0.25"/>
    <row r="82" spans="6:19" s="16" customFormat="1" hidden="1" x14ac:dyDescent="0.25">
      <c r="F82" s="17" t="s">
        <v>113</v>
      </c>
      <c r="G82" s="17" t="str">
        <f>'Phase calculation'!D32</f>
        <v>EBL</v>
      </c>
      <c r="H82" s="17" t="str">
        <f>'Phase calculation'!E32</f>
        <v>EBT</v>
      </c>
      <c r="I82" s="17" t="str">
        <f>'Phase calculation'!G32</f>
        <v>WBL</v>
      </c>
      <c r="J82" s="17" t="str">
        <f>'Phase calculation'!H32</f>
        <v>WBT</v>
      </c>
      <c r="K82" s="17" t="str">
        <f>'Phase calculation'!J32</f>
        <v>NBL</v>
      </c>
      <c r="L82" s="17" t="str">
        <f>'Phase calculation'!K32</f>
        <v>NBT</v>
      </c>
      <c r="M82" s="17" t="str">
        <f>'Phase calculation'!M32</f>
        <v>SBL</v>
      </c>
      <c r="N82" s="17" t="str">
        <f>'Phase calculation'!N32</f>
        <v>SBT</v>
      </c>
    </row>
    <row r="83" spans="6:19" s="16" customFormat="1" hidden="1" x14ac:dyDescent="0.25">
      <c r="F83" s="17" t="s">
        <v>291</v>
      </c>
      <c r="G83" s="17">
        <f>'Phase calculation'!D33</f>
        <v>0</v>
      </c>
      <c r="H83" s="17">
        <f>'Phase calculation'!E33</f>
        <v>4</v>
      </c>
      <c r="I83" s="17">
        <f>'Phase calculation'!G33</f>
        <v>0</v>
      </c>
      <c r="J83" s="17">
        <f>'Phase calculation'!H33</f>
        <v>8</v>
      </c>
      <c r="K83" s="17">
        <f>'Phase calculation'!J33</f>
        <v>0</v>
      </c>
      <c r="L83" s="17">
        <f>'Phase calculation'!K33</f>
        <v>2</v>
      </c>
      <c r="M83" s="17">
        <f>'Phase calculation'!M33</f>
        <v>0</v>
      </c>
      <c r="N83" s="17">
        <f>'Phase calculation'!N33</f>
        <v>6</v>
      </c>
    </row>
    <row r="84" spans="6:19" s="16" customFormat="1" hidden="1" x14ac:dyDescent="0.25">
      <c r="F84" s="17" t="s">
        <v>555</v>
      </c>
      <c r="G84" s="17">
        <f>'Phase calculation'!D34</f>
        <v>0</v>
      </c>
      <c r="H84" s="17">
        <f>'Phase calculation'!E34</f>
        <v>36</v>
      </c>
      <c r="I84" s="17">
        <f>'Phase calculation'!G34</f>
        <v>0</v>
      </c>
      <c r="J84" s="17">
        <f>'Phase calculation'!H34</f>
        <v>36</v>
      </c>
      <c r="K84" s="17">
        <f>'Phase calculation'!J34</f>
        <v>0</v>
      </c>
      <c r="L84" s="17">
        <f>'Phase calculation'!K34</f>
        <v>44</v>
      </c>
      <c r="M84" s="17">
        <f>'Phase calculation'!M34</f>
        <v>0</v>
      </c>
      <c r="N84" s="17">
        <f>'Phase calculation'!N34</f>
        <v>44</v>
      </c>
    </row>
    <row r="85" spans="6:19" s="16" customFormat="1" hidden="1" x14ac:dyDescent="0.25">
      <c r="F85" s="17" t="s">
        <v>50</v>
      </c>
      <c r="G85" s="17">
        <f>'Phase calculation'!D41</f>
        <v>112</v>
      </c>
      <c r="H85" s="17">
        <f>'Phase calculation'!E41</f>
        <v>1836</v>
      </c>
      <c r="I85" s="17">
        <f>'Phase calculation'!G41</f>
        <v>112</v>
      </c>
      <c r="J85" s="17">
        <f>'Phase calculation'!H41</f>
        <v>1836</v>
      </c>
      <c r="K85" s="17">
        <f>'Phase calculation'!J41</f>
        <v>104</v>
      </c>
      <c r="L85" s="17">
        <f>'Phase calculation'!K41</f>
        <v>1530</v>
      </c>
      <c r="M85" s="17">
        <f>'Phase calculation'!M41</f>
        <v>107</v>
      </c>
      <c r="N85" s="17">
        <f>'Phase calculation'!N41</f>
        <v>1530</v>
      </c>
    </row>
    <row r="86" spans="6:19" s="16" customFormat="1" hidden="1" x14ac:dyDescent="0.25">
      <c r="F86" s="17" t="s">
        <v>51</v>
      </c>
      <c r="G86" s="17">
        <f>'Phase calculation'!D40</f>
        <v>1.79</v>
      </c>
      <c r="H86" s="17">
        <f>'Phase calculation'!E40</f>
        <v>0.27</v>
      </c>
      <c r="I86" s="17">
        <f>'Phase calculation'!G40</f>
        <v>1.79</v>
      </c>
      <c r="J86" s="17">
        <f>'Phase calculation'!H40</f>
        <v>0.27</v>
      </c>
      <c r="K86" s="17">
        <f>'Phase calculation'!J40</f>
        <v>0.72</v>
      </c>
      <c r="L86" s="17">
        <f>'Phase calculation'!K40</f>
        <v>0.42</v>
      </c>
      <c r="M86" s="17">
        <f>'Phase calculation'!M40</f>
        <v>0.93</v>
      </c>
      <c r="N86" s="17">
        <f>'Phase calculation'!N40</f>
        <v>0.56000000000000005</v>
      </c>
    </row>
    <row r="87" spans="6:19" s="16" customFormat="1" hidden="1" x14ac:dyDescent="0.25">
      <c r="F87" s="17" t="s">
        <v>52</v>
      </c>
      <c r="G87" s="17">
        <f>'Phase calculation'!D44</f>
        <v>412.8</v>
      </c>
      <c r="H87" s="17">
        <f>'Phase calculation'!E44</f>
        <v>16.5</v>
      </c>
      <c r="I87" s="17">
        <f>'Phase calculation'!G44</f>
        <v>412.8</v>
      </c>
      <c r="J87" s="17">
        <f>'Phase calculation'!H44</f>
        <v>16.5</v>
      </c>
      <c r="K87" s="17">
        <f>'Phase calculation'!J44</f>
        <v>50.49</v>
      </c>
      <c r="L87" s="17">
        <f>'Phase calculation'!K44</f>
        <v>13.51</v>
      </c>
      <c r="M87" s="17">
        <f>'Phase calculation'!M44</f>
        <v>88.31</v>
      </c>
      <c r="N87" s="17">
        <f>'Phase calculation'!N44</f>
        <v>15.38</v>
      </c>
    </row>
    <row r="88" spans="6:19" s="16" customFormat="1" hidden="1" x14ac:dyDescent="0.25">
      <c r="F88" s="17" t="s">
        <v>53</v>
      </c>
      <c r="G88" s="17" t="str">
        <f>'Phase calculation'!D45</f>
        <v>F</v>
      </c>
      <c r="H88" s="17" t="str">
        <f>'Phase calculation'!E45</f>
        <v>B</v>
      </c>
      <c r="I88" s="17" t="str">
        <f>'Phase calculation'!G45</f>
        <v>F</v>
      </c>
      <c r="J88" s="17" t="str">
        <f>'Phase calculation'!H45</f>
        <v>B</v>
      </c>
      <c r="K88" s="17" t="str">
        <f>'Phase calculation'!J45</f>
        <v>D</v>
      </c>
      <c r="L88" s="17" t="str">
        <f>'Phase calculation'!K45</f>
        <v>B</v>
      </c>
      <c r="M88" s="17" t="str">
        <f>'Phase calculation'!M45</f>
        <v>F</v>
      </c>
      <c r="N88" s="17" t="str">
        <f>'Phase calculation'!N45</f>
        <v>B</v>
      </c>
    </row>
    <row r="89" spans="6:19" s="16" customFormat="1" hidden="1" x14ac:dyDescent="0.25">
      <c r="G89" s="142" t="s">
        <v>568</v>
      </c>
      <c r="H89" s="142" t="s">
        <v>569</v>
      </c>
      <c r="I89" s="142" t="s">
        <v>570</v>
      </c>
      <c r="J89" s="142" t="s">
        <v>571</v>
      </c>
      <c r="K89" s="142" t="s">
        <v>572</v>
      </c>
      <c r="L89" s="142" t="s">
        <v>573</v>
      </c>
      <c r="M89" s="142" t="s">
        <v>574</v>
      </c>
      <c r="N89" s="142" t="s">
        <v>575</v>
      </c>
    </row>
    <row r="90" spans="6:19" s="17" customFormat="1" x14ac:dyDescent="0.25">
      <c r="F90" s="143" t="s">
        <v>291</v>
      </c>
      <c r="G90" s="143">
        <v>1</v>
      </c>
      <c r="H90" s="144">
        <v>2</v>
      </c>
      <c r="I90" s="144">
        <v>3</v>
      </c>
      <c r="J90" s="144">
        <v>4</v>
      </c>
      <c r="K90" s="144">
        <v>5</v>
      </c>
      <c r="L90" s="144">
        <v>6</v>
      </c>
      <c r="M90" s="144">
        <v>7</v>
      </c>
      <c r="N90" s="157">
        <v>8</v>
      </c>
    </row>
    <row r="91" spans="6:19" s="17" customFormat="1" hidden="1" x14ac:dyDescent="0.25">
      <c r="F91" s="145" t="s">
        <v>291</v>
      </c>
      <c r="G91" s="145">
        <f>IF(OR(G83=G90,M83=G90),G90,0)</f>
        <v>0</v>
      </c>
      <c r="H91" s="146">
        <f>IF(OR(J83=H90,L83=H90),H90,0)</f>
        <v>2</v>
      </c>
      <c r="I91" s="146">
        <f>IF(OR(I83=I90,M83=I90),I90,0)</f>
        <v>0</v>
      </c>
      <c r="J91" s="146">
        <f>IF(OR(H83=J90,L83=J90),J90,0)</f>
        <v>4</v>
      </c>
      <c r="K91" s="146">
        <f>IF(OR(K83=K90,I83=K90),K90,0)</f>
        <v>0</v>
      </c>
      <c r="L91" s="146">
        <f>IF(OR(H83=L90,N83=L90),L90,0)</f>
        <v>6</v>
      </c>
      <c r="M91" s="146">
        <f>IF(OR(K83=M90,G83=M90),M90,0)</f>
        <v>0</v>
      </c>
      <c r="N91" s="158">
        <f>IF(OR(N83=N90,J83=N90),N90,0)</f>
        <v>8</v>
      </c>
    </row>
    <row r="92" spans="6:19" s="17" customFormat="1" hidden="1" x14ac:dyDescent="0.25">
      <c r="F92" s="145" t="s">
        <v>576</v>
      </c>
      <c r="G92" s="145">
        <f>IF(G91=0,0,MATCH(G91,$G$83:$N$83,0))</f>
        <v>0</v>
      </c>
      <c r="H92" s="146">
        <f t="shared" ref="H92:N92" si="0">IF(H91=0,0,MATCH(H91,$G$83:$N$83,0))</f>
        <v>6</v>
      </c>
      <c r="I92" s="146">
        <f t="shared" si="0"/>
        <v>0</v>
      </c>
      <c r="J92" s="146">
        <f t="shared" si="0"/>
        <v>2</v>
      </c>
      <c r="K92" s="146">
        <f t="shared" si="0"/>
        <v>0</v>
      </c>
      <c r="L92" s="146">
        <f t="shared" si="0"/>
        <v>8</v>
      </c>
      <c r="M92" s="146">
        <f t="shared" si="0"/>
        <v>0</v>
      </c>
      <c r="N92" s="158">
        <f t="shared" si="0"/>
        <v>4</v>
      </c>
    </row>
    <row r="93" spans="6:19" s="17" customFormat="1" x14ac:dyDescent="0.25">
      <c r="F93" s="465" t="s">
        <v>113</v>
      </c>
      <c r="G93" s="145" t="str">
        <f>IF(G92=0,"Not used",INDEX($G$82:$N$82,G92))</f>
        <v>Not used</v>
      </c>
      <c r="H93" s="146" t="str">
        <f t="shared" ref="H93:N93" si="1">IF(H92=0,"Not used",INDEX($G$82:$N$82,H92))</f>
        <v>NBT</v>
      </c>
      <c r="I93" s="146" t="str">
        <f t="shared" si="1"/>
        <v>Not used</v>
      </c>
      <c r="J93" s="146" t="str">
        <f t="shared" si="1"/>
        <v>EBT</v>
      </c>
      <c r="K93" s="146" t="str">
        <f t="shared" si="1"/>
        <v>Not used</v>
      </c>
      <c r="L93" s="146" t="str">
        <f t="shared" si="1"/>
        <v>SBT</v>
      </c>
      <c r="M93" s="146" t="str">
        <f t="shared" si="1"/>
        <v>Not used</v>
      </c>
      <c r="N93" s="158" t="str">
        <f t="shared" si="1"/>
        <v>WBT</v>
      </c>
    </row>
    <row r="94" spans="6:19" s="17" customFormat="1" ht="24.6" x14ac:dyDescent="0.4">
      <c r="F94" s="465"/>
      <c r="G94" s="147" t="str">
        <f t="shared" ref="G94:N94" si="2">IF(G92=0,"",INDEX($G$89:$N$89,G92))</f>
        <v/>
      </c>
      <c r="H94" s="148" t="str">
        <f t="shared" si="2"/>
        <v>ñ</v>
      </c>
      <c r="I94" s="148" t="str">
        <f t="shared" si="2"/>
        <v/>
      </c>
      <c r="J94" s="148" t="str">
        <f t="shared" si="2"/>
        <v>ð</v>
      </c>
      <c r="K94" s="148" t="str">
        <f t="shared" si="2"/>
        <v/>
      </c>
      <c r="L94" s="148" t="str">
        <f t="shared" si="2"/>
        <v>ò</v>
      </c>
      <c r="M94" s="148" t="str">
        <f t="shared" si="2"/>
        <v/>
      </c>
      <c r="N94" s="159" t="str">
        <f t="shared" si="2"/>
        <v>ï</v>
      </c>
      <c r="S94" s="142"/>
    </row>
    <row r="95" spans="6:19" s="17" customFormat="1" x14ac:dyDescent="0.25">
      <c r="F95" s="145" t="s">
        <v>577</v>
      </c>
      <c r="G95" s="145" t="str">
        <f>IF(G92=0,"Not used",INDEX($G$84:$N$84,G92))</f>
        <v>Not used</v>
      </c>
      <c r="H95" s="146">
        <f t="shared" ref="H95:N95" si="3">IF(H92=0,"Not used",INDEX($G$84:$N$84,H92))</f>
        <v>44</v>
      </c>
      <c r="I95" s="146" t="str">
        <f t="shared" si="3"/>
        <v>Not used</v>
      </c>
      <c r="J95" s="146">
        <f t="shared" si="3"/>
        <v>36</v>
      </c>
      <c r="K95" s="146" t="str">
        <f t="shared" si="3"/>
        <v>Not used</v>
      </c>
      <c r="L95" s="146">
        <f t="shared" si="3"/>
        <v>44</v>
      </c>
      <c r="M95" s="146" t="str">
        <f t="shared" si="3"/>
        <v>Not used</v>
      </c>
      <c r="N95" s="158">
        <f t="shared" si="3"/>
        <v>36</v>
      </c>
    </row>
    <row r="96" spans="6:19" s="17" customFormat="1" x14ac:dyDescent="0.25">
      <c r="F96" s="145" t="s">
        <v>578</v>
      </c>
      <c r="G96" s="145" t="str">
        <f>IF(G92=0,"Not used",INDEX($G$85:$N$85,G92))</f>
        <v>Not used</v>
      </c>
      <c r="H96" s="146">
        <f t="shared" ref="H96:N96" si="4">IF(H92=0,"Not used",INDEX($G$85:$N$85,H92))</f>
        <v>1530</v>
      </c>
      <c r="I96" s="146" t="str">
        <f t="shared" si="4"/>
        <v>Not used</v>
      </c>
      <c r="J96" s="146">
        <f t="shared" si="4"/>
        <v>1836</v>
      </c>
      <c r="K96" s="146" t="str">
        <f t="shared" si="4"/>
        <v>Not used</v>
      </c>
      <c r="L96" s="146">
        <f t="shared" si="4"/>
        <v>1530</v>
      </c>
      <c r="M96" s="146" t="str">
        <f t="shared" si="4"/>
        <v>Not used</v>
      </c>
      <c r="N96" s="158">
        <f t="shared" si="4"/>
        <v>1836</v>
      </c>
    </row>
    <row r="97" spans="6:14" s="17" customFormat="1" x14ac:dyDescent="0.25">
      <c r="F97" s="145" t="s">
        <v>51</v>
      </c>
      <c r="G97" s="145" t="str">
        <f>IF(G92=0,"Not used",INDEX($G$86:$N$86,G92))</f>
        <v>Not used</v>
      </c>
      <c r="H97" s="146">
        <f t="shared" ref="H97:N97" si="5">IF(H92=0,"Not used",INDEX($G$86:$N$86,H92))</f>
        <v>0.42</v>
      </c>
      <c r="I97" s="146" t="str">
        <f t="shared" si="5"/>
        <v>Not used</v>
      </c>
      <c r="J97" s="146">
        <f t="shared" si="5"/>
        <v>0.27</v>
      </c>
      <c r="K97" s="146" t="str">
        <f t="shared" si="5"/>
        <v>Not used</v>
      </c>
      <c r="L97" s="146">
        <f t="shared" si="5"/>
        <v>0.56000000000000005</v>
      </c>
      <c r="M97" s="146" t="str">
        <f t="shared" si="5"/>
        <v>Not used</v>
      </c>
      <c r="N97" s="158">
        <f t="shared" si="5"/>
        <v>0.27</v>
      </c>
    </row>
    <row r="98" spans="6:14" s="17" customFormat="1" x14ac:dyDescent="0.25">
      <c r="F98" s="145" t="s">
        <v>579</v>
      </c>
      <c r="G98" s="145" t="str">
        <f>IF(G92=0,"Not used",INDEX($G$87:$N$87,G92))</f>
        <v>Not used</v>
      </c>
      <c r="H98" s="146">
        <f t="shared" ref="H98:N98" si="6">IF(H92=0,"Not used",INDEX($G$87:$N$87,H92))</f>
        <v>13.51</v>
      </c>
      <c r="I98" s="146" t="str">
        <f t="shared" si="6"/>
        <v>Not used</v>
      </c>
      <c r="J98" s="146">
        <f t="shared" si="6"/>
        <v>16.5</v>
      </c>
      <c r="K98" s="146" t="str">
        <f t="shared" si="6"/>
        <v>Not used</v>
      </c>
      <c r="L98" s="146">
        <f t="shared" si="6"/>
        <v>15.38</v>
      </c>
      <c r="M98" s="146" t="str">
        <f t="shared" si="6"/>
        <v>Not used</v>
      </c>
      <c r="N98" s="158">
        <f t="shared" si="6"/>
        <v>16.5</v>
      </c>
    </row>
    <row r="99" spans="6:14" s="17" customFormat="1" x14ac:dyDescent="0.25">
      <c r="F99" s="149" t="s">
        <v>53</v>
      </c>
      <c r="G99" s="149" t="str">
        <f>IF(G92=0,"Not used",INDEX($G$88:$N$88,G92))</f>
        <v>Not used</v>
      </c>
      <c r="H99" s="150" t="str">
        <f t="shared" ref="H99:N99" si="7">IF(H92=0,"Not used",INDEX($G$88:$N$88,H92))</f>
        <v>B</v>
      </c>
      <c r="I99" s="150" t="str">
        <f t="shared" si="7"/>
        <v>Not used</v>
      </c>
      <c r="J99" s="150" t="str">
        <f t="shared" si="7"/>
        <v>B</v>
      </c>
      <c r="K99" s="150" t="str">
        <f t="shared" si="7"/>
        <v>Not used</v>
      </c>
      <c r="L99" s="150" t="str">
        <f t="shared" si="7"/>
        <v>B</v>
      </c>
      <c r="M99" s="150" t="str">
        <f t="shared" si="7"/>
        <v>Not used</v>
      </c>
      <c r="N99" s="160" t="str">
        <f t="shared" si="7"/>
        <v>B</v>
      </c>
    </row>
    <row r="100" spans="6:14" s="17" customFormat="1" x14ac:dyDescent="0.25"/>
    <row r="101" spans="6:14" s="17" customFormat="1" x14ac:dyDescent="0.25"/>
    <row r="102" spans="6:14" s="17" customFormat="1" x14ac:dyDescent="0.25"/>
    <row r="103" spans="6:14" s="17" customFormat="1" x14ac:dyDescent="0.25"/>
    <row r="104" spans="6:14" s="17" customFormat="1" x14ac:dyDescent="0.25"/>
    <row r="105" spans="6:14" s="17" customFormat="1" x14ac:dyDescent="0.25"/>
    <row r="106" spans="6:14" s="17" customFormat="1" x14ac:dyDescent="0.25"/>
    <row r="107" spans="6:14" s="17" customFormat="1" x14ac:dyDescent="0.25"/>
    <row r="108" spans="6:14" s="17" customFormat="1" x14ac:dyDescent="0.25"/>
    <row r="109" spans="6:14" s="17" customFormat="1" x14ac:dyDescent="0.25"/>
    <row r="110" spans="6:14" s="17" customFormat="1" x14ac:dyDescent="0.25"/>
    <row r="111" spans="6:14" s="17" customFormat="1" x14ac:dyDescent="0.25"/>
    <row r="112" spans="6:14" s="17" customFormat="1" x14ac:dyDescent="0.25"/>
    <row r="113" s="17" customFormat="1" x14ac:dyDescent="0.25"/>
    <row r="114" s="17" customFormat="1" x14ac:dyDescent="0.25"/>
    <row r="115" s="16" customFormat="1" x14ac:dyDescent="0.25"/>
    <row r="116" s="16" customFormat="1" x14ac:dyDescent="0.25"/>
    <row r="117" s="16" customFormat="1" x14ac:dyDescent="0.25"/>
    <row r="118" s="16" customFormat="1" x14ac:dyDescent="0.25"/>
    <row r="119" s="16" customFormat="1" x14ac:dyDescent="0.25"/>
    <row r="120" s="16" customFormat="1" x14ac:dyDescent="0.25"/>
    <row r="121" s="16" customFormat="1" x14ac:dyDescent="0.25"/>
    <row r="122" s="16" customFormat="1" x14ac:dyDescent="0.25"/>
    <row r="123" s="16" customFormat="1" x14ac:dyDescent="0.25"/>
    <row r="124" s="16" customFormat="1" x14ac:dyDescent="0.25"/>
    <row r="125" s="16" customFormat="1" x14ac:dyDescent="0.25"/>
    <row r="126" s="16" customFormat="1" x14ac:dyDescent="0.25"/>
    <row r="127" s="16" customFormat="1" x14ac:dyDescent="0.25"/>
    <row r="128" s="16" customFormat="1" x14ac:dyDescent="0.25"/>
    <row r="129" s="16" customFormat="1" x14ac:dyDescent="0.25"/>
    <row r="130" s="16" customFormat="1" x14ac:dyDescent="0.25"/>
    <row r="131" s="16" customFormat="1" x14ac:dyDescent="0.25"/>
    <row r="132" s="16" customFormat="1" x14ac:dyDescent="0.25"/>
    <row r="133" s="16" customFormat="1" x14ac:dyDescent="0.25"/>
    <row r="134" s="16" customFormat="1" x14ac:dyDescent="0.25"/>
    <row r="135" s="16" customFormat="1" x14ac:dyDescent="0.25"/>
    <row r="136" s="16" customFormat="1" x14ac:dyDescent="0.25"/>
    <row r="137" s="16" customFormat="1" x14ac:dyDescent="0.25"/>
    <row r="138" s="16" customFormat="1" x14ac:dyDescent="0.25"/>
    <row r="139" s="16" customFormat="1" x14ac:dyDescent="0.25"/>
    <row r="140" s="16" customFormat="1" x14ac:dyDescent="0.25"/>
    <row r="141" s="16" customFormat="1" x14ac:dyDescent="0.25"/>
    <row r="142" s="16" customFormat="1" x14ac:dyDescent="0.25"/>
    <row r="143" s="16" customFormat="1" x14ac:dyDescent="0.25"/>
    <row r="144" s="16" customFormat="1" x14ac:dyDescent="0.25"/>
    <row r="145" s="16" customFormat="1" x14ac:dyDescent="0.25"/>
    <row r="146" s="16" customFormat="1" x14ac:dyDescent="0.25"/>
    <row r="147" s="16" customFormat="1" x14ac:dyDescent="0.25"/>
    <row r="148" s="16" customFormat="1" x14ac:dyDescent="0.25"/>
    <row r="149" s="16" customFormat="1" x14ac:dyDescent="0.25"/>
    <row r="150" s="16" customFormat="1" x14ac:dyDescent="0.25"/>
    <row r="151" s="16" customFormat="1" x14ac:dyDescent="0.25"/>
    <row r="152" s="16" customFormat="1" x14ac:dyDescent="0.25"/>
    <row r="153" s="16" customFormat="1" x14ac:dyDescent="0.25"/>
    <row r="154" s="16" customFormat="1" x14ac:dyDescent="0.25"/>
    <row r="155" s="16" customFormat="1" x14ac:dyDescent="0.25"/>
    <row r="156" s="16" customFormat="1" x14ac:dyDescent="0.25"/>
    <row r="157" s="16" customFormat="1" x14ac:dyDescent="0.25"/>
    <row r="158" s="16" customFormat="1" x14ac:dyDescent="0.25"/>
    <row r="159" s="16" customFormat="1" x14ac:dyDescent="0.25"/>
    <row r="160" s="16" customFormat="1" x14ac:dyDescent="0.25"/>
    <row r="161" s="16" customFormat="1" x14ac:dyDescent="0.25"/>
    <row r="162" s="16" customFormat="1" x14ac:dyDescent="0.25"/>
    <row r="163" s="16" customFormat="1" x14ac:dyDescent="0.25"/>
    <row r="164" s="16" customFormat="1" x14ac:dyDescent="0.25"/>
    <row r="165" s="16" customFormat="1" x14ac:dyDescent="0.25"/>
    <row r="166" s="16" customFormat="1" x14ac:dyDescent="0.25"/>
    <row r="167" s="16" customFormat="1" x14ac:dyDescent="0.25"/>
    <row r="168" s="16" customFormat="1" x14ac:dyDescent="0.25"/>
    <row r="169" s="16" customFormat="1" x14ac:dyDescent="0.25"/>
    <row r="170" s="16" customFormat="1" x14ac:dyDescent="0.25"/>
    <row r="171" s="16" customFormat="1" x14ac:dyDescent="0.25"/>
    <row r="172" s="16" customFormat="1" x14ac:dyDescent="0.25"/>
    <row r="173" s="16" customFormat="1" x14ac:dyDescent="0.25"/>
    <row r="174" s="16" customFormat="1" x14ac:dyDescent="0.25"/>
    <row r="175" s="16" customFormat="1" x14ac:dyDescent="0.25"/>
    <row r="176" s="16" customFormat="1" x14ac:dyDescent="0.25"/>
    <row r="177" s="16" customFormat="1" x14ac:dyDescent="0.25"/>
    <row r="178" s="16" customFormat="1" x14ac:dyDescent="0.25"/>
    <row r="179" s="16" customFormat="1" x14ac:dyDescent="0.25"/>
    <row r="180" s="16" customFormat="1" x14ac:dyDescent="0.25"/>
    <row r="181" s="16" customFormat="1" x14ac:dyDescent="0.25"/>
    <row r="182" s="16" customFormat="1" x14ac:dyDescent="0.25"/>
    <row r="183" s="16" customFormat="1" x14ac:dyDescent="0.25"/>
    <row r="184" s="16" customFormat="1" x14ac:dyDescent="0.25"/>
    <row r="185" s="16" customFormat="1" x14ac:dyDescent="0.25"/>
    <row r="186" s="16" customFormat="1" x14ac:dyDescent="0.25"/>
    <row r="187" s="16" customFormat="1" x14ac:dyDescent="0.25"/>
    <row r="188" s="16" customFormat="1" x14ac:dyDescent="0.25"/>
    <row r="189" s="16" customFormat="1" x14ac:dyDescent="0.25"/>
    <row r="190" s="16" customFormat="1" x14ac:dyDescent="0.25"/>
    <row r="191" s="16" customFormat="1" x14ac:dyDescent="0.25"/>
    <row r="192" s="16" customFormat="1" x14ac:dyDescent="0.25"/>
    <row r="193" s="16" customFormat="1" x14ac:dyDescent="0.25"/>
    <row r="194" s="16" customFormat="1" x14ac:dyDescent="0.25"/>
    <row r="195" s="16" customFormat="1" x14ac:dyDescent="0.25"/>
    <row r="196" s="16" customFormat="1" x14ac:dyDescent="0.25"/>
    <row r="197" s="16" customFormat="1" x14ac:dyDescent="0.25"/>
    <row r="198" s="16" customFormat="1" x14ac:dyDescent="0.25"/>
    <row r="199" s="16" customFormat="1" x14ac:dyDescent="0.25"/>
    <row r="200" s="16" customFormat="1" x14ac:dyDescent="0.25"/>
    <row r="201" s="16" customFormat="1" x14ac:dyDescent="0.25"/>
    <row r="202" s="16" customFormat="1" x14ac:dyDescent="0.25"/>
    <row r="203" s="16" customFormat="1" x14ac:dyDescent="0.25"/>
    <row r="204" s="16" customFormat="1" x14ac:dyDescent="0.25"/>
    <row r="205" s="16" customFormat="1" x14ac:dyDescent="0.25"/>
    <row r="206" s="16" customFormat="1" x14ac:dyDescent="0.25"/>
    <row r="207" s="16" customFormat="1" x14ac:dyDescent="0.25"/>
    <row r="208" s="16" customFormat="1" x14ac:dyDescent="0.25"/>
    <row r="209" s="16" customFormat="1" x14ac:dyDescent="0.25"/>
    <row r="210" s="16" customFormat="1" x14ac:dyDescent="0.25"/>
    <row r="211" s="16" customFormat="1" x14ac:dyDescent="0.25"/>
    <row r="212" s="16" customFormat="1" x14ac:dyDescent="0.25"/>
    <row r="213" s="16" customFormat="1" x14ac:dyDescent="0.25"/>
    <row r="214" s="16" customFormat="1" x14ac:dyDescent="0.25"/>
    <row r="215" s="16" customFormat="1" x14ac:dyDescent="0.25"/>
    <row r="216" s="16" customFormat="1" x14ac:dyDescent="0.25"/>
    <row r="217" s="16" customFormat="1" x14ac:dyDescent="0.25"/>
    <row r="218" s="16" customFormat="1" x14ac:dyDescent="0.25"/>
    <row r="219" s="16" customFormat="1" x14ac:dyDescent="0.25"/>
    <row r="220" s="16" customFormat="1" x14ac:dyDescent="0.25"/>
    <row r="221" s="16" customFormat="1" x14ac:dyDescent="0.25"/>
    <row r="222" s="16" customFormat="1" x14ac:dyDescent="0.25"/>
    <row r="223" s="16" customFormat="1" x14ac:dyDescent="0.25"/>
    <row r="224" s="16" customFormat="1" x14ac:dyDescent="0.25"/>
    <row r="225" s="16" customFormat="1" x14ac:dyDescent="0.25"/>
    <row r="226" s="16" customFormat="1" x14ac:dyDescent="0.25"/>
    <row r="227" s="16" customFormat="1" x14ac:dyDescent="0.25"/>
    <row r="228" s="16" customFormat="1" x14ac:dyDescent="0.25"/>
    <row r="229" s="16" customFormat="1" x14ac:dyDescent="0.25"/>
    <row r="230" s="16" customFormat="1" x14ac:dyDescent="0.25"/>
    <row r="231" s="16" customFormat="1" x14ac:dyDescent="0.25"/>
    <row r="232" s="16" customFormat="1" x14ac:dyDescent="0.25"/>
    <row r="233" s="16" customFormat="1" x14ac:dyDescent="0.25"/>
    <row r="234" s="16" customFormat="1" x14ac:dyDescent="0.25"/>
    <row r="235" s="16" customFormat="1" x14ac:dyDescent="0.25"/>
    <row r="236" s="16" customFormat="1" x14ac:dyDescent="0.25"/>
    <row r="237" s="16" customFormat="1" x14ac:dyDescent="0.25"/>
    <row r="238" s="16" customFormat="1" x14ac:dyDescent="0.25"/>
    <row r="239" s="16" customFormat="1" x14ac:dyDescent="0.25"/>
    <row r="240" s="16" customFormat="1" x14ac:dyDescent="0.25"/>
    <row r="241" s="16" customFormat="1" x14ac:dyDescent="0.25"/>
    <row r="242" s="16" customFormat="1" x14ac:dyDescent="0.25"/>
    <row r="243" s="16" customFormat="1" x14ac:dyDescent="0.25"/>
    <row r="244" s="16" customFormat="1" x14ac:dyDescent="0.25"/>
    <row r="245" s="16" customFormat="1" x14ac:dyDescent="0.25"/>
    <row r="246" s="16" customFormat="1" x14ac:dyDescent="0.25"/>
    <row r="247" s="16" customFormat="1" x14ac:dyDescent="0.25"/>
    <row r="248" s="16" customFormat="1" x14ac:dyDescent="0.25"/>
  </sheetData>
  <mergeCells count="30">
    <mergeCell ref="B2:H2"/>
    <mergeCell ref="L2:Q2"/>
    <mergeCell ref="U2:AA2"/>
    <mergeCell ref="D3:F3"/>
    <mergeCell ref="N3:P3"/>
    <mergeCell ref="D18:F18"/>
    <mergeCell ref="N18:P18"/>
    <mergeCell ref="B20:G20"/>
    <mergeCell ref="L20:Q20"/>
    <mergeCell ref="D21:F21"/>
    <mergeCell ref="N21:P21"/>
    <mergeCell ref="E28:E30"/>
    <mergeCell ref="D41:F41"/>
    <mergeCell ref="O41:Q41"/>
    <mergeCell ref="D48:F48"/>
    <mergeCell ref="D49:F49"/>
    <mergeCell ref="D36:F36"/>
    <mergeCell ref="N36:P36"/>
    <mergeCell ref="M39:S39"/>
    <mergeCell ref="B40:G40"/>
    <mergeCell ref="O40:Q40"/>
    <mergeCell ref="F93:F94"/>
    <mergeCell ref="I67:K69"/>
    <mergeCell ref="O48:Q50"/>
    <mergeCell ref="O57:Q57"/>
    <mergeCell ref="G58:L58"/>
    <mergeCell ref="I59:K59"/>
    <mergeCell ref="I76:K76"/>
    <mergeCell ref="D56:F56"/>
    <mergeCell ref="O56:Q56"/>
  </mergeCells>
  <phoneticPr fontId="25" type="noConversion"/>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hart1"/>
  <dimension ref="A1"/>
  <sheetViews>
    <sheetView showGridLines="0" showRowColHeaders="0" tabSelected="1" zoomScale="85" zoomScaleNormal="85" workbookViewId="0">
      <selection activeCell="G35" sqref="G35"/>
    </sheetView>
  </sheetViews>
  <sheetFormatPr defaultColWidth="10" defaultRowHeight="14.4" x14ac:dyDescent="0.25"/>
  <sheetData/>
  <phoneticPr fontId="25"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3"/>
  <sheetViews>
    <sheetView workbookViewId="0">
      <selection activeCell="E28" sqref="E28"/>
    </sheetView>
  </sheetViews>
  <sheetFormatPr defaultColWidth="9" defaultRowHeight="14.4" x14ac:dyDescent="0.25"/>
  <cols>
    <col min="1" max="6" width="8.88671875" style="13"/>
  </cols>
  <sheetData>
    <row r="1" spans="1:6" x14ac:dyDescent="0.25">
      <c r="A1" s="14" t="s">
        <v>500</v>
      </c>
      <c r="B1" s="14" t="s">
        <v>501</v>
      </c>
      <c r="C1" s="14" t="s">
        <v>502</v>
      </c>
      <c r="D1" s="14" t="s">
        <v>503</v>
      </c>
      <c r="E1" s="14" t="s">
        <v>504</v>
      </c>
      <c r="F1" s="14" t="s">
        <v>505</v>
      </c>
    </row>
    <row r="2" spans="1:6" x14ac:dyDescent="0.25">
      <c r="A2" s="13">
        <f>'Phase calculation'!D155</f>
        <v>1</v>
      </c>
      <c r="B2" s="13" t="str">
        <f>'Phase calculation'!D156</f>
        <v>42</v>
      </c>
      <c r="D2" s="13">
        <f>'Phase calculation'!D158</f>
        <v>4</v>
      </c>
      <c r="E2" s="13" t="str">
        <f>'Phase calculation'!D159</f>
        <v>Permissive</v>
      </c>
    </row>
    <row r="3" spans="1:6" x14ac:dyDescent="0.25">
      <c r="A3" s="13">
        <f>'Phase calculation'!E155</f>
        <v>1</v>
      </c>
      <c r="B3" s="13">
        <f>'Phase calculation'!E156</f>
        <v>4</v>
      </c>
      <c r="D3" s="13">
        <f>'Phase calculation'!E158</f>
        <v>4</v>
      </c>
      <c r="E3" s="13" t="str">
        <f>'Phase calculation'!E159</f>
        <v>Protected</v>
      </c>
    </row>
    <row r="4" spans="1:6" x14ac:dyDescent="0.25">
      <c r="A4" s="13">
        <f>'Phase calculation'!F155</f>
        <v>1</v>
      </c>
      <c r="B4" s="13" t="str">
        <f>'Phase calculation'!F156</f>
        <v>41</v>
      </c>
      <c r="D4" s="13">
        <f>'Phase calculation'!F158</f>
        <v>4</v>
      </c>
      <c r="E4" s="13" t="str">
        <f>'Phase calculation'!F159</f>
        <v>RTOR</v>
      </c>
    </row>
    <row r="5" spans="1:6" x14ac:dyDescent="0.25">
      <c r="A5" s="13">
        <f>'Phase calculation'!G155</f>
        <v>1</v>
      </c>
      <c r="B5" s="13" t="str">
        <f>'Phase calculation'!G156</f>
        <v>82</v>
      </c>
      <c r="D5" s="13">
        <f>'Phase calculation'!G158</f>
        <v>8</v>
      </c>
      <c r="E5" s="13" t="str">
        <f>'Phase calculation'!G159</f>
        <v>Permissive</v>
      </c>
    </row>
    <row r="6" spans="1:6" x14ac:dyDescent="0.25">
      <c r="A6" s="13">
        <f>'Phase calculation'!H155</f>
        <v>1</v>
      </c>
      <c r="B6" s="13">
        <f>'Phase calculation'!H156</f>
        <v>8</v>
      </c>
      <c r="D6" s="13">
        <f>'Phase calculation'!H158</f>
        <v>8</v>
      </c>
      <c r="E6" s="13" t="str">
        <f>'Phase calculation'!H159</f>
        <v>Protected</v>
      </c>
    </row>
    <row r="7" spans="1:6" x14ac:dyDescent="0.25">
      <c r="A7" s="13">
        <f>'Phase calculation'!I155</f>
        <v>1</v>
      </c>
      <c r="B7" s="13" t="str">
        <f>'Phase calculation'!I156</f>
        <v>81</v>
      </c>
      <c r="D7" s="13">
        <f>'Phase calculation'!I158</f>
        <v>8</v>
      </c>
      <c r="E7" s="13" t="str">
        <f>'Phase calculation'!I159</f>
        <v>RTOR</v>
      </c>
    </row>
    <row r="8" spans="1:6" x14ac:dyDescent="0.25">
      <c r="A8" s="13">
        <f>'Phase calculation'!J155</f>
        <v>1</v>
      </c>
      <c r="B8" s="13" t="str">
        <f>'Phase calculation'!J156</f>
        <v>22</v>
      </c>
      <c r="D8" s="13">
        <f>'Phase calculation'!J158</f>
        <v>2</v>
      </c>
      <c r="E8" s="13" t="str">
        <f>'Phase calculation'!J159</f>
        <v>Permissive</v>
      </c>
    </row>
    <row r="9" spans="1:6" x14ac:dyDescent="0.25">
      <c r="A9" s="13">
        <f>'Phase calculation'!K155</f>
        <v>1</v>
      </c>
      <c r="B9" s="13">
        <f>'Phase calculation'!K156</f>
        <v>2</v>
      </c>
      <c r="D9" s="13">
        <f>'Phase calculation'!K158</f>
        <v>2</v>
      </c>
      <c r="E9" s="13" t="str">
        <f>'Phase calculation'!K159</f>
        <v>Protected</v>
      </c>
    </row>
    <row r="10" spans="1:6" x14ac:dyDescent="0.25">
      <c r="A10" s="13">
        <f>'Phase calculation'!L155</f>
        <v>1</v>
      </c>
      <c r="B10" s="13" t="str">
        <f>'Phase calculation'!L156</f>
        <v>21</v>
      </c>
      <c r="D10" s="13">
        <f>'Phase calculation'!L158</f>
        <v>2</v>
      </c>
      <c r="E10" s="13" t="str">
        <f>'Phase calculation'!L159</f>
        <v>RTOR</v>
      </c>
    </row>
    <row r="11" spans="1:6" x14ac:dyDescent="0.25">
      <c r="A11" s="13">
        <f>'Phase calculation'!M155</f>
        <v>1</v>
      </c>
      <c r="B11" s="13" t="str">
        <f>'Phase calculation'!M156</f>
        <v>62</v>
      </c>
      <c r="D11" s="13">
        <f>'Phase calculation'!M158</f>
        <v>6</v>
      </c>
      <c r="E11" s="13" t="str">
        <f>'Phase calculation'!M159</f>
        <v>Permissive</v>
      </c>
    </row>
    <row r="12" spans="1:6" x14ac:dyDescent="0.25">
      <c r="A12" s="13">
        <f>'Phase calculation'!N155</f>
        <v>1</v>
      </c>
      <c r="B12" s="13">
        <f>'Phase calculation'!N156</f>
        <v>6</v>
      </c>
      <c r="D12" s="13">
        <f>'Phase calculation'!N158</f>
        <v>6</v>
      </c>
      <c r="E12" s="13" t="str">
        <f>'Phase calculation'!N159</f>
        <v>Protected</v>
      </c>
    </row>
    <row r="13" spans="1:6" x14ac:dyDescent="0.25">
      <c r="A13" s="13">
        <f>'Phase calculation'!O155</f>
        <v>1</v>
      </c>
      <c r="B13" s="13" t="str">
        <f>'Phase calculation'!O156</f>
        <v>61</v>
      </c>
      <c r="D13" s="13">
        <f>'Phase calculation'!O158</f>
        <v>6</v>
      </c>
      <c r="E13" s="13" t="str">
        <f>'Phase calculation'!O159</f>
        <v>RTOR</v>
      </c>
    </row>
  </sheetData>
  <phoneticPr fontId="2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D9"/>
  <sheetViews>
    <sheetView workbookViewId="0"/>
  </sheetViews>
  <sheetFormatPr defaultColWidth="9" defaultRowHeight="14.4" x14ac:dyDescent="0.25"/>
  <sheetData>
    <row r="1" spans="1:4" x14ac:dyDescent="0.25">
      <c r="A1" t="s">
        <v>500</v>
      </c>
      <c r="B1" t="s">
        <v>580</v>
      </c>
      <c r="C1" t="s">
        <v>581</v>
      </c>
      <c r="D1" t="s">
        <v>582</v>
      </c>
    </row>
    <row r="2" spans="1:4" x14ac:dyDescent="0.25">
      <c r="A2" t="str">
        <f>IF(B2="","",signal_phase!A2)</f>
        <v/>
      </c>
      <c r="B2" t="str">
        <f>IF(Phasing!D58=0,"",Phasing!D54)</f>
        <v/>
      </c>
      <c r="C2" t="str">
        <f>IF(B2="","",IF(B2&lt;=4,1,2))</f>
        <v/>
      </c>
      <c r="D2" t="str">
        <f>IF(C2="","",IF(OR(B2=1,B2=2,B2=5,B2=6),1,2))</f>
        <v/>
      </c>
    </row>
    <row r="3" spans="1:4" x14ac:dyDescent="0.25">
      <c r="A3">
        <f>IF(B3="","",signal_phase!A3)</f>
        <v>1</v>
      </c>
      <c r="B3">
        <f>IF(Phasing!E58=0,"",Phasing!E54)</f>
        <v>2</v>
      </c>
      <c r="C3">
        <f t="shared" ref="C3:C9" si="0">IF(B3="","",IF(B3&lt;=4,1,2))</f>
        <v>1</v>
      </c>
      <c r="D3">
        <f t="shared" ref="D3:D9" si="1">IF(C3="","",IF(OR(B3=1,B3=2,B3=5,B3=6),1,2))</f>
        <v>1</v>
      </c>
    </row>
    <row r="4" spans="1:4" x14ac:dyDescent="0.25">
      <c r="A4" t="str">
        <f>IF(B4="","",signal_phase!A4)</f>
        <v/>
      </c>
      <c r="B4" t="str">
        <f>IF(Phasing!F58=0,"",Phasing!F54)</f>
        <v/>
      </c>
      <c r="C4" t="str">
        <f t="shared" si="0"/>
        <v/>
      </c>
      <c r="D4" t="str">
        <f t="shared" si="1"/>
        <v/>
      </c>
    </row>
    <row r="5" spans="1:4" x14ac:dyDescent="0.25">
      <c r="A5">
        <f>IF(B5="","",signal_phase!A5)</f>
        <v>1</v>
      </c>
      <c r="B5">
        <f>IF(Phasing!G58=0,"",Phasing!G54)</f>
        <v>4</v>
      </c>
      <c r="C5">
        <f t="shared" si="0"/>
        <v>1</v>
      </c>
      <c r="D5">
        <f t="shared" si="1"/>
        <v>2</v>
      </c>
    </row>
    <row r="6" spans="1:4" x14ac:dyDescent="0.25">
      <c r="A6" t="str">
        <f>IF(B6="","",signal_phase!A6)</f>
        <v/>
      </c>
      <c r="B6" t="str">
        <f>IF(Phasing!H58=0,"",Phasing!H54)</f>
        <v/>
      </c>
      <c r="C6" t="str">
        <f t="shared" si="0"/>
        <v/>
      </c>
      <c r="D6" t="str">
        <f t="shared" si="1"/>
        <v/>
      </c>
    </row>
    <row r="7" spans="1:4" x14ac:dyDescent="0.25">
      <c r="A7">
        <f>IF(B7="","",signal_phase!A7)</f>
        <v>1</v>
      </c>
      <c r="B7">
        <f>IF(Phasing!I58=0,"",Phasing!I54)</f>
        <v>6</v>
      </c>
      <c r="C7">
        <f t="shared" si="0"/>
        <v>2</v>
      </c>
      <c r="D7">
        <f t="shared" si="1"/>
        <v>1</v>
      </c>
    </row>
    <row r="8" spans="1:4" x14ac:dyDescent="0.25">
      <c r="A8" t="str">
        <f>IF(B8="","",signal_phase!A8)</f>
        <v/>
      </c>
      <c r="B8" t="str">
        <f>IF(Phasing!J58=0,"",Phasing!J54)</f>
        <v/>
      </c>
      <c r="C8" t="str">
        <f t="shared" si="0"/>
        <v/>
      </c>
      <c r="D8" t="str">
        <f t="shared" si="1"/>
        <v/>
      </c>
    </row>
    <row r="9" spans="1:4" x14ac:dyDescent="0.25">
      <c r="A9">
        <f>IF(B9="","",signal_phase!A9)</f>
        <v>1</v>
      </c>
      <c r="B9">
        <f>IF(Phasing!K58=0,"",Phasing!K54)</f>
        <v>8</v>
      </c>
      <c r="C9">
        <f t="shared" si="0"/>
        <v>2</v>
      </c>
      <c r="D9">
        <f t="shared" si="1"/>
        <v>2</v>
      </c>
    </row>
  </sheetData>
  <phoneticPr fontId="25"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G2"/>
  <sheetViews>
    <sheetView workbookViewId="0">
      <selection activeCell="E2" sqref="E2"/>
    </sheetView>
  </sheetViews>
  <sheetFormatPr defaultColWidth="9" defaultRowHeight="14.4" x14ac:dyDescent="0.25"/>
  <sheetData>
    <row r="1" spans="1:7" x14ac:dyDescent="0.25">
      <c r="A1" t="s">
        <v>500</v>
      </c>
      <c r="B1" t="s">
        <v>583</v>
      </c>
      <c r="C1" t="s">
        <v>584</v>
      </c>
      <c r="D1" t="s">
        <v>585</v>
      </c>
      <c r="E1" t="s">
        <v>586</v>
      </c>
      <c r="F1" t="s">
        <v>587</v>
      </c>
      <c r="G1" t="s">
        <v>588</v>
      </c>
    </row>
    <row r="2" spans="1:7" x14ac:dyDescent="0.25">
      <c r="A2">
        <f>Sheet1!B2</f>
        <v>1</v>
      </c>
      <c r="B2">
        <v>1</v>
      </c>
      <c r="C2">
        <v>1700</v>
      </c>
      <c r="D2">
        <f>'Phase calculation'!D25</f>
        <v>80</v>
      </c>
    </row>
  </sheetData>
  <phoneticPr fontId="25"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9"/>
  <sheetViews>
    <sheetView workbookViewId="0">
      <selection activeCell="J17" sqref="J17"/>
    </sheetView>
  </sheetViews>
  <sheetFormatPr defaultColWidth="9" defaultRowHeight="14.4" x14ac:dyDescent="0.25"/>
  <cols>
    <col min="1" max="10" width="8.88671875" style="13"/>
  </cols>
  <sheetData>
    <row r="1" spans="1:10" x14ac:dyDescent="0.25">
      <c r="A1" s="13" t="s">
        <v>589</v>
      </c>
      <c r="B1" s="13" t="s">
        <v>500</v>
      </c>
      <c r="C1" s="13" t="s">
        <v>583</v>
      </c>
      <c r="D1" s="13" t="s">
        <v>503</v>
      </c>
      <c r="E1" s="13" t="s">
        <v>590</v>
      </c>
      <c r="F1" s="13" t="s">
        <v>591</v>
      </c>
      <c r="G1" s="13" t="s">
        <v>592</v>
      </c>
      <c r="H1" s="13" t="s">
        <v>593</v>
      </c>
      <c r="I1" s="13" t="s">
        <v>594</v>
      </c>
      <c r="J1" s="13" t="s">
        <v>595</v>
      </c>
    </row>
    <row r="2" spans="1:10" x14ac:dyDescent="0.25">
      <c r="A2" s="13" t="str">
        <f>IF(D2="","",1)</f>
        <v/>
      </c>
      <c r="B2" s="13" t="str">
        <f>IF(D2="","",Sheet1!$B$2)</f>
        <v/>
      </c>
      <c r="C2" s="13" t="str">
        <f>IF(D2="","",1)</f>
        <v/>
      </c>
      <c r="D2" s="13" t="str">
        <f>signal_phase_concurrency!B2</f>
        <v/>
      </c>
      <c r="E2" s="13" t="str">
        <f>IF(D2="","",Phasing!D31)</f>
        <v/>
      </c>
      <c r="F2" s="13" t="str">
        <f>IF(D2="","",Phasing!D32)</f>
        <v/>
      </c>
      <c r="G2" s="13" t="str">
        <f>IF(D2="","",Phasing!D33)</f>
        <v/>
      </c>
      <c r="H2" s="13" t="str">
        <f>IF(D2="","",INDEX(Phasing!$Y$33:$Y$40,MATCH(D2,Phasing!$W$33:$W$40,0))+INDEX(Phasing!$AA$33:$AA$40,MATCH(D2,Phasing!$W$33:$W$40,0)))</f>
        <v/>
      </c>
    </row>
    <row r="3" spans="1:10" x14ac:dyDescent="0.25">
      <c r="A3" s="13">
        <f t="shared" ref="A3:A9" si="0">IF(D3="","",1)</f>
        <v>1</v>
      </c>
      <c r="B3" s="13">
        <f>IF(D3="","",Sheet1!$B$2)</f>
        <v>1</v>
      </c>
      <c r="C3" s="13">
        <f t="shared" ref="C3:C9" si="1">IF(D3="","",1)</f>
        <v>1</v>
      </c>
      <c r="D3" s="13">
        <f>signal_phase_concurrency!B3</f>
        <v>2</v>
      </c>
      <c r="E3" s="13">
        <f>IF(D3="","",Phasing!E31)</f>
        <v>10</v>
      </c>
      <c r="F3" s="13">
        <f>IF(D3="","",Phasing!E32)</f>
        <v>39</v>
      </c>
      <c r="G3" s="13">
        <f>IF(D3="","",Phasing!E33)</f>
        <v>2</v>
      </c>
      <c r="H3" s="13">
        <f>IF(D3="","",INDEX(Phasing!$Y$33:$Y$40,MATCH(D3,Phasing!$W$33:$W$40,0))+INDEX(Phasing!$AA$33:$AA$40,MATCH(D3,Phasing!$W$33:$W$40,0)))</f>
        <v>5.7</v>
      </c>
      <c r="I3" s="13">
        <f>IF(D3="","",Phasing!E40)</f>
        <v>5</v>
      </c>
      <c r="J3" s="13">
        <f>IF(D3="","",Phasing!E41)</f>
        <v>31</v>
      </c>
    </row>
    <row r="4" spans="1:10" x14ac:dyDescent="0.25">
      <c r="A4" s="13" t="str">
        <f t="shared" si="0"/>
        <v/>
      </c>
      <c r="B4" s="13" t="str">
        <f>IF(D4="","",Sheet1!$B$2)</f>
        <v/>
      </c>
      <c r="C4" s="13" t="str">
        <f t="shared" si="1"/>
        <v/>
      </c>
      <c r="D4" s="13" t="str">
        <f>signal_phase_concurrency!B4</f>
        <v/>
      </c>
      <c r="E4" s="13" t="str">
        <f>IF(D4="","",Phasing!F31)</f>
        <v/>
      </c>
      <c r="F4" s="13" t="str">
        <f>IF(D4="","",Phasing!F32)</f>
        <v/>
      </c>
      <c r="G4" s="13" t="str">
        <f>IF(D4="","",Phasing!F33)</f>
        <v/>
      </c>
      <c r="H4" s="13" t="str">
        <f>IF(D4="","",INDEX(Phasing!$Y$33:$Y$40,MATCH(D4,Phasing!$W$33:$W$40,0))+INDEX(Phasing!$AA$33:$AA$40,MATCH(D4,Phasing!$W$33:$W$40,0)))</f>
        <v/>
      </c>
    </row>
    <row r="5" spans="1:10" x14ac:dyDescent="0.25">
      <c r="A5" s="13">
        <f t="shared" si="0"/>
        <v>1</v>
      </c>
      <c r="B5" s="13">
        <f>IF(D5="","",Sheet1!$B$2)</f>
        <v>1</v>
      </c>
      <c r="C5" s="13">
        <f t="shared" si="1"/>
        <v>1</v>
      </c>
      <c r="D5" s="13">
        <f>signal_phase_concurrency!B5</f>
        <v>4</v>
      </c>
      <c r="E5" s="13">
        <f>IF(D5="","",Phasing!G31)</f>
        <v>10</v>
      </c>
      <c r="F5" s="13">
        <f>IF(D5="","",Phasing!G32)</f>
        <v>30</v>
      </c>
      <c r="G5" s="13">
        <f>IF(D5="","",Phasing!G33)</f>
        <v>2.2999999999999998</v>
      </c>
      <c r="H5" s="13">
        <f>IF(D5="","",INDEX(Phasing!$Y$33:$Y$40,MATCH(D5,Phasing!$W$33:$W$40,0))+INDEX(Phasing!$AA$33:$AA$40,MATCH(D5,Phasing!$W$33:$W$40,0)))</f>
        <v>6.1</v>
      </c>
      <c r="I5" s="13">
        <f>IF(D5="","",Phasing!G40)</f>
        <v>5</v>
      </c>
      <c r="J5" s="13">
        <f>IF(D5="","",Phasing!G41)</f>
        <v>24</v>
      </c>
    </row>
    <row r="6" spans="1:10" x14ac:dyDescent="0.25">
      <c r="A6" s="13" t="str">
        <f t="shared" si="0"/>
        <v/>
      </c>
      <c r="B6" s="13" t="str">
        <f>IF(D6="","",Sheet1!$B$2)</f>
        <v/>
      </c>
      <c r="C6" s="13" t="str">
        <f t="shared" si="1"/>
        <v/>
      </c>
      <c r="D6" s="13" t="str">
        <f>signal_phase_concurrency!B6</f>
        <v/>
      </c>
      <c r="E6" s="13" t="str">
        <f>IF(D6="","",Phasing!H31)</f>
        <v/>
      </c>
      <c r="F6" s="13" t="str">
        <f>IF(D6="","",Phasing!H32)</f>
        <v/>
      </c>
      <c r="G6" s="13" t="str">
        <f>IF(D6="","",Phasing!H33)</f>
        <v/>
      </c>
      <c r="H6" s="13" t="str">
        <f>IF(D6="","",INDEX(Phasing!$Y$33:$Y$40,MATCH(D6,Phasing!$W$33:$W$40,0))+INDEX(Phasing!$AA$33:$AA$40,MATCH(D6,Phasing!$W$33:$W$40,0)))</f>
        <v/>
      </c>
    </row>
    <row r="7" spans="1:10" x14ac:dyDescent="0.25">
      <c r="A7" s="13">
        <f t="shared" si="0"/>
        <v>1</v>
      </c>
      <c r="B7" s="13">
        <f>IF(D7="","",Sheet1!$B$2)</f>
        <v>1</v>
      </c>
      <c r="C7" s="13">
        <f t="shared" si="1"/>
        <v>1</v>
      </c>
      <c r="D7" s="13">
        <f>signal_phase_concurrency!B7</f>
        <v>6</v>
      </c>
      <c r="E7" s="13">
        <f>IF(D7="","",Phasing!I31)</f>
        <v>10</v>
      </c>
      <c r="F7" s="13">
        <f>IF(D7="","",Phasing!I32)</f>
        <v>39</v>
      </c>
      <c r="G7" s="13">
        <f>IF(D7="","",Phasing!I33)</f>
        <v>2</v>
      </c>
      <c r="H7" s="13">
        <f>IF(D7="","",INDEX(Phasing!$Y$33:$Y$40,MATCH(D7,Phasing!$W$33:$W$40,0))+INDEX(Phasing!$AA$33:$AA$40,MATCH(D7,Phasing!$W$33:$W$40,0)))</f>
        <v>5.7</v>
      </c>
      <c r="I7" s="13">
        <f>IF(D7="","",Phasing!I40)</f>
        <v>5</v>
      </c>
      <c r="J7" s="13">
        <f>IF(D7="","",Phasing!I41)</f>
        <v>31</v>
      </c>
    </row>
    <row r="8" spans="1:10" x14ac:dyDescent="0.25">
      <c r="A8" s="13" t="str">
        <f t="shared" si="0"/>
        <v/>
      </c>
      <c r="B8" s="13" t="str">
        <f>IF(D8="","",Sheet1!$B$2)</f>
        <v/>
      </c>
      <c r="C8" s="13" t="str">
        <f t="shared" si="1"/>
        <v/>
      </c>
      <c r="D8" s="13" t="str">
        <f>signal_phase_concurrency!B8</f>
        <v/>
      </c>
      <c r="E8" s="13" t="str">
        <f>IF(D8="","",Phasing!J31)</f>
        <v/>
      </c>
      <c r="F8" s="13" t="str">
        <f>IF(D8="","",Phasing!J32)</f>
        <v/>
      </c>
      <c r="G8" s="13" t="str">
        <f>IF(D8="","",Phasing!J33)</f>
        <v/>
      </c>
      <c r="H8" s="13" t="str">
        <f>IF(D8="","",INDEX(Phasing!$Y$33:$Y$40,MATCH(D8,Phasing!$W$33:$W$40,0))+INDEX(Phasing!$AA$33:$AA$40,MATCH(D8,Phasing!$W$33:$W$40,0)))</f>
        <v/>
      </c>
    </row>
    <row r="9" spans="1:10" x14ac:dyDescent="0.25">
      <c r="A9" s="13">
        <f t="shared" si="0"/>
        <v>1</v>
      </c>
      <c r="B9" s="13">
        <f>IF(D9="","",Sheet1!$B$2)</f>
        <v>1</v>
      </c>
      <c r="C9" s="13">
        <f t="shared" si="1"/>
        <v>1</v>
      </c>
      <c r="D9" s="13">
        <f>signal_phase_concurrency!B9</f>
        <v>8</v>
      </c>
      <c r="E9" s="13">
        <f>IF(D9="","",Phasing!K31)</f>
        <v>10</v>
      </c>
      <c r="F9" s="13">
        <f>IF(D9="","",Phasing!K32)</f>
        <v>30</v>
      </c>
      <c r="G9" s="13">
        <f>IF(D9="","",Phasing!K33)</f>
        <v>2.2999999999999998</v>
      </c>
      <c r="H9" s="13">
        <f>IF(D9="","",INDEX(Phasing!$Y$33:$Y$40,MATCH(D9,Phasing!$W$33:$W$40,0))+INDEX(Phasing!$AA$33:$AA$40,MATCH(D9,Phasing!$W$33:$W$40,0)))</f>
        <v>6.1</v>
      </c>
      <c r="I9" s="13">
        <f>IF(D9="","",Phasing!K40)</f>
        <v>5</v>
      </c>
      <c r="J9" s="13">
        <f>IF(D9="","",Phasing!K41)</f>
        <v>24</v>
      </c>
    </row>
  </sheetData>
  <phoneticPr fontId="25"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2:E46"/>
  <sheetViews>
    <sheetView topLeftCell="A10" workbookViewId="0">
      <selection activeCell="I37" sqref="I37"/>
    </sheetView>
  </sheetViews>
  <sheetFormatPr defaultColWidth="9" defaultRowHeight="14.4" x14ac:dyDescent="0.25"/>
  <cols>
    <col min="2" max="2" width="15" customWidth="1"/>
    <col min="3" max="3" width="17" customWidth="1"/>
    <col min="4" max="4" width="20.33203125" customWidth="1"/>
  </cols>
  <sheetData>
    <row r="2" spans="2:5" x14ac:dyDescent="0.25">
      <c r="B2" s="10" t="s">
        <v>596</v>
      </c>
      <c r="C2" s="10"/>
      <c r="D2" s="10"/>
      <c r="E2" s="10"/>
    </row>
    <row r="3" spans="2:5" x14ac:dyDescent="0.25">
      <c r="B3" s="10"/>
      <c r="C3" s="10"/>
      <c r="D3" s="10"/>
      <c r="E3" s="10"/>
    </row>
    <row r="4" spans="2:5" x14ac:dyDescent="0.25">
      <c r="B4" s="11" t="s">
        <v>597</v>
      </c>
      <c r="C4" s="11" t="s">
        <v>598</v>
      </c>
      <c r="D4" s="11" t="s">
        <v>599</v>
      </c>
      <c r="E4" s="11" t="s">
        <v>600</v>
      </c>
    </row>
    <row r="5" spans="2:5" x14ac:dyDescent="0.25">
      <c r="B5" s="12" t="s">
        <v>500</v>
      </c>
      <c r="C5" s="12" t="s">
        <v>601</v>
      </c>
      <c r="D5" s="12" t="s">
        <v>602</v>
      </c>
      <c r="E5" s="12" t="s">
        <v>603</v>
      </c>
    </row>
    <row r="6" spans="2:5" x14ac:dyDescent="0.25">
      <c r="B6" s="12" t="s">
        <v>501</v>
      </c>
      <c r="C6" s="12" t="s">
        <v>493</v>
      </c>
      <c r="D6" s="12" t="s">
        <v>604</v>
      </c>
      <c r="E6" s="12" t="s">
        <v>605</v>
      </c>
    </row>
    <row r="7" spans="2:5" x14ac:dyDescent="0.25">
      <c r="B7" s="12" t="s">
        <v>502</v>
      </c>
      <c r="C7" s="12" t="s">
        <v>606</v>
      </c>
      <c r="D7" s="12" t="s">
        <v>604</v>
      </c>
      <c r="E7" s="12" t="s">
        <v>607</v>
      </c>
    </row>
    <row r="8" spans="2:5" x14ac:dyDescent="0.25">
      <c r="B8" s="12" t="s">
        <v>503</v>
      </c>
      <c r="C8" s="12" t="s">
        <v>608</v>
      </c>
      <c r="D8" s="12" t="s">
        <v>609</v>
      </c>
      <c r="E8" s="12" t="s">
        <v>610</v>
      </c>
    </row>
    <row r="9" spans="2:5" x14ac:dyDescent="0.25">
      <c r="B9" s="12" t="s">
        <v>504</v>
      </c>
      <c r="C9" s="12" t="s">
        <v>611</v>
      </c>
      <c r="D9" s="12" t="s">
        <v>602</v>
      </c>
      <c r="E9" s="12" t="s">
        <v>612</v>
      </c>
    </row>
    <row r="10" spans="2:5" x14ac:dyDescent="0.25">
      <c r="B10" s="12" t="s">
        <v>505</v>
      </c>
      <c r="C10" s="12" t="s">
        <v>613</v>
      </c>
      <c r="D10" s="12" t="s">
        <v>602</v>
      </c>
      <c r="E10" s="12"/>
    </row>
    <row r="13" spans="2:5" x14ac:dyDescent="0.25">
      <c r="B13" s="10" t="s">
        <v>614</v>
      </c>
      <c r="C13" s="10"/>
      <c r="D13" s="10"/>
      <c r="E13" s="10"/>
    </row>
    <row r="14" spans="2:5" x14ac:dyDescent="0.25">
      <c r="B14" s="10"/>
      <c r="C14" s="10"/>
      <c r="D14" s="10"/>
      <c r="E14" s="10"/>
    </row>
    <row r="15" spans="2:5" x14ac:dyDescent="0.25">
      <c r="B15" s="11" t="s">
        <v>597</v>
      </c>
      <c r="C15" s="11" t="s">
        <v>598</v>
      </c>
      <c r="D15" s="11" t="s">
        <v>599</v>
      </c>
      <c r="E15" s="11" t="s">
        <v>600</v>
      </c>
    </row>
    <row r="16" spans="2:5" x14ac:dyDescent="0.25">
      <c r="B16" s="12" t="s">
        <v>500</v>
      </c>
      <c r="C16" s="12" t="s">
        <v>601</v>
      </c>
      <c r="D16" s="12" t="s">
        <v>609</v>
      </c>
      <c r="E16" s="12" t="s">
        <v>615</v>
      </c>
    </row>
    <row r="17" spans="2:5" x14ac:dyDescent="0.25">
      <c r="B17" s="12" t="s">
        <v>580</v>
      </c>
      <c r="C17" s="12" t="s">
        <v>608</v>
      </c>
      <c r="D17" s="12" t="s">
        <v>609</v>
      </c>
      <c r="E17" s="12" t="s">
        <v>616</v>
      </c>
    </row>
    <row r="18" spans="2:5" x14ac:dyDescent="0.25">
      <c r="B18" s="12" t="s">
        <v>581</v>
      </c>
      <c r="C18" s="12" t="s">
        <v>608</v>
      </c>
      <c r="D18" s="12" t="s">
        <v>609</v>
      </c>
      <c r="E18" s="12"/>
    </row>
    <row r="19" spans="2:5" x14ac:dyDescent="0.25">
      <c r="B19" s="12" t="s">
        <v>582</v>
      </c>
      <c r="C19" s="12" t="s">
        <v>608</v>
      </c>
      <c r="D19" s="12" t="s">
        <v>609</v>
      </c>
      <c r="E19" s="12"/>
    </row>
    <row r="22" spans="2:5" x14ac:dyDescent="0.25">
      <c r="B22" s="10" t="s">
        <v>617</v>
      </c>
      <c r="C22" s="10"/>
      <c r="D22" s="10"/>
      <c r="E22" s="10"/>
    </row>
    <row r="23" spans="2:5" x14ac:dyDescent="0.25">
      <c r="B23" s="10"/>
      <c r="C23" s="10"/>
      <c r="D23" s="10"/>
      <c r="E23" s="10"/>
    </row>
    <row r="24" spans="2:5" x14ac:dyDescent="0.25">
      <c r="B24" s="11" t="s">
        <v>597</v>
      </c>
      <c r="C24" s="11" t="s">
        <v>598</v>
      </c>
      <c r="D24" s="11" t="s">
        <v>599</v>
      </c>
      <c r="E24" s="11" t="s">
        <v>600</v>
      </c>
    </row>
    <row r="25" spans="2:5" x14ac:dyDescent="0.25">
      <c r="B25" s="12" t="s">
        <v>500</v>
      </c>
      <c r="C25" s="12" t="s">
        <v>601</v>
      </c>
      <c r="D25" s="12" t="s">
        <v>609</v>
      </c>
      <c r="E25" s="12" t="s">
        <v>615</v>
      </c>
    </row>
    <row r="26" spans="2:5" x14ac:dyDescent="0.25">
      <c r="B26" s="12" t="s">
        <v>583</v>
      </c>
      <c r="C26" s="12" t="s">
        <v>618</v>
      </c>
      <c r="D26" s="12" t="s">
        <v>609</v>
      </c>
      <c r="E26" s="12" t="s">
        <v>616</v>
      </c>
    </row>
    <row r="27" spans="2:5" x14ac:dyDescent="0.25">
      <c r="B27" s="12" t="s">
        <v>584</v>
      </c>
      <c r="C27" s="12" t="s">
        <v>619</v>
      </c>
      <c r="D27" s="12" t="s">
        <v>609</v>
      </c>
      <c r="E27" s="12"/>
    </row>
    <row r="28" spans="2:5" x14ac:dyDescent="0.25">
      <c r="B28" s="12" t="s">
        <v>585</v>
      </c>
      <c r="C28" s="12" t="s">
        <v>608</v>
      </c>
      <c r="D28" s="12" t="s">
        <v>602</v>
      </c>
      <c r="E28" s="12" t="s">
        <v>620</v>
      </c>
    </row>
    <row r="29" spans="2:5" x14ac:dyDescent="0.25">
      <c r="B29" s="12" t="s">
        <v>586</v>
      </c>
      <c r="C29" s="12" t="s">
        <v>601</v>
      </c>
      <c r="D29" s="12" t="s">
        <v>602</v>
      </c>
      <c r="E29" s="12" t="s">
        <v>621</v>
      </c>
    </row>
    <row r="30" spans="2:5" x14ac:dyDescent="0.25">
      <c r="B30" s="12" t="s">
        <v>587</v>
      </c>
      <c r="C30" s="12" t="s">
        <v>608</v>
      </c>
      <c r="D30" s="12" t="s">
        <v>602</v>
      </c>
      <c r="E30" s="12" t="s">
        <v>622</v>
      </c>
    </row>
    <row r="31" spans="2:5" x14ac:dyDescent="0.25">
      <c r="B31" s="12" t="s">
        <v>588</v>
      </c>
      <c r="C31" s="12" t="s">
        <v>608</v>
      </c>
      <c r="D31" s="12" t="s">
        <v>602</v>
      </c>
      <c r="E31" s="12" t="s">
        <v>623</v>
      </c>
    </row>
    <row r="34" spans="2:5" x14ac:dyDescent="0.25">
      <c r="B34" s="10" t="s">
        <v>624</v>
      </c>
      <c r="C34" s="10"/>
      <c r="D34" s="10"/>
      <c r="E34" s="10"/>
    </row>
    <row r="35" spans="2:5" x14ac:dyDescent="0.25">
      <c r="B35" s="10"/>
      <c r="C35" s="10"/>
      <c r="D35" s="10"/>
      <c r="E35" s="10"/>
    </row>
    <row r="36" spans="2:5" x14ac:dyDescent="0.25">
      <c r="B36" s="11" t="s">
        <v>597</v>
      </c>
      <c r="C36" s="11" t="s">
        <v>598</v>
      </c>
      <c r="D36" s="11" t="s">
        <v>599</v>
      </c>
      <c r="E36" s="11" t="s">
        <v>600</v>
      </c>
    </row>
    <row r="37" spans="2:5" x14ac:dyDescent="0.25">
      <c r="B37" s="12" t="s">
        <v>589</v>
      </c>
      <c r="C37" s="12" t="s">
        <v>625</v>
      </c>
      <c r="D37" s="12" t="s">
        <v>609</v>
      </c>
      <c r="E37" s="12" t="s">
        <v>616</v>
      </c>
    </row>
    <row r="38" spans="2:5" x14ac:dyDescent="0.25">
      <c r="B38" s="12" t="s">
        <v>500</v>
      </c>
      <c r="C38" s="12" t="s">
        <v>601</v>
      </c>
      <c r="D38" s="12" t="s">
        <v>602</v>
      </c>
      <c r="E38" s="12" t="s">
        <v>603</v>
      </c>
    </row>
    <row r="39" spans="2:5" x14ac:dyDescent="0.25">
      <c r="B39" s="12" t="s">
        <v>583</v>
      </c>
      <c r="C39" s="12" t="s">
        <v>618</v>
      </c>
      <c r="D39" s="12" t="s">
        <v>602</v>
      </c>
      <c r="E39" s="12" t="s">
        <v>607</v>
      </c>
    </row>
    <row r="40" spans="2:5" x14ac:dyDescent="0.25">
      <c r="B40" s="12" t="s">
        <v>503</v>
      </c>
      <c r="C40" s="12" t="s">
        <v>608</v>
      </c>
      <c r="D40" s="12" t="s">
        <v>609</v>
      </c>
      <c r="E40" s="12" t="s">
        <v>626</v>
      </c>
    </row>
    <row r="41" spans="2:5" x14ac:dyDescent="0.25">
      <c r="B41" s="12" t="s">
        <v>590</v>
      </c>
      <c r="C41" s="12" t="s">
        <v>608</v>
      </c>
      <c r="D41" s="12" t="s">
        <v>609</v>
      </c>
      <c r="E41" s="12" t="s">
        <v>627</v>
      </c>
    </row>
    <row r="42" spans="2:5" x14ac:dyDescent="0.25">
      <c r="B42" s="12" t="s">
        <v>591</v>
      </c>
      <c r="C42" s="12" t="s">
        <v>608</v>
      </c>
      <c r="D42" s="12" t="s">
        <v>602</v>
      </c>
      <c r="E42" s="12" t="s">
        <v>628</v>
      </c>
    </row>
    <row r="43" spans="2:5" x14ac:dyDescent="0.25">
      <c r="B43" s="12" t="s">
        <v>592</v>
      </c>
      <c r="C43" s="12" t="s">
        <v>608</v>
      </c>
      <c r="D43" s="12" t="s">
        <v>602</v>
      </c>
      <c r="E43" s="12" t="s">
        <v>629</v>
      </c>
    </row>
    <row r="44" spans="2:5" x14ac:dyDescent="0.25">
      <c r="B44" s="12" t="s">
        <v>593</v>
      </c>
      <c r="C44" s="12" t="s">
        <v>608</v>
      </c>
      <c r="D44" s="12" t="s">
        <v>609</v>
      </c>
      <c r="E44" s="12" t="s">
        <v>630</v>
      </c>
    </row>
    <row r="45" spans="2:5" x14ac:dyDescent="0.25">
      <c r="B45" s="12" t="s">
        <v>594</v>
      </c>
      <c r="C45" s="12" t="s">
        <v>608</v>
      </c>
      <c r="D45" s="12" t="s">
        <v>609</v>
      </c>
      <c r="E45" s="12" t="s">
        <v>631</v>
      </c>
    </row>
    <row r="46" spans="2:5" x14ac:dyDescent="0.25">
      <c r="B46" s="12" t="s">
        <v>595</v>
      </c>
      <c r="C46" s="12" t="s">
        <v>608</v>
      </c>
      <c r="D46" s="12" t="s">
        <v>609</v>
      </c>
      <c r="E46" s="12" t="s">
        <v>632</v>
      </c>
    </row>
  </sheetData>
  <phoneticPr fontId="25"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2:G11"/>
  <sheetViews>
    <sheetView workbookViewId="0">
      <selection activeCell="A7" sqref="A7:IV7"/>
    </sheetView>
  </sheetViews>
  <sheetFormatPr defaultColWidth="9" defaultRowHeight="14.4" x14ac:dyDescent="0.25"/>
  <cols>
    <col min="1" max="1" width="21.5546875" customWidth="1"/>
  </cols>
  <sheetData>
    <row r="2" spans="1:7" x14ac:dyDescent="0.25">
      <c r="C2" s="424" t="s">
        <v>633</v>
      </c>
      <c r="D2" s="424"/>
      <c r="E2" s="424"/>
      <c r="F2" s="424"/>
      <c r="G2" s="424"/>
    </row>
    <row r="3" spans="1:7" x14ac:dyDescent="0.25">
      <c r="A3" t="s">
        <v>634</v>
      </c>
      <c r="B3" s="9" t="s">
        <v>96</v>
      </c>
      <c r="C3" s="8">
        <v>30</v>
      </c>
      <c r="D3" s="8">
        <v>50</v>
      </c>
      <c r="E3" s="8">
        <v>70</v>
      </c>
      <c r="F3" s="8">
        <v>90</v>
      </c>
      <c r="G3" s="8">
        <v>110</v>
      </c>
    </row>
    <row r="4" spans="1:7" x14ac:dyDescent="0.25">
      <c r="A4">
        <v>25</v>
      </c>
      <c r="B4">
        <v>3</v>
      </c>
      <c r="C4">
        <v>1.4</v>
      </c>
      <c r="D4">
        <v>1.9</v>
      </c>
      <c r="E4">
        <v>2.5</v>
      </c>
      <c r="F4">
        <v>3</v>
      </c>
      <c r="G4">
        <v>3.5</v>
      </c>
    </row>
    <row r="5" spans="1:7" x14ac:dyDescent="0.25">
      <c r="A5">
        <v>30</v>
      </c>
      <c r="B5">
        <v>3.2</v>
      </c>
      <c r="C5">
        <v>1.1000000000000001</v>
      </c>
      <c r="D5">
        <v>1.6</v>
      </c>
      <c r="E5">
        <v>2</v>
      </c>
      <c r="F5">
        <v>2.5</v>
      </c>
      <c r="G5">
        <v>3</v>
      </c>
    </row>
    <row r="6" spans="1:7" x14ac:dyDescent="0.25">
      <c r="A6">
        <v>35</v>
      </c>
      <c r="B6">
        <v>3.6</v>
      </c>
      <c r="C6">
        <v>1</v>
      </c>
      <c r="D6">
        <v>1.4</v>
      </c>
      <c r="E6">
        <v>1.8</v>
      </c>
      <c r="F6">
        <v>2.1</v>
      </c>
      <c r="G6">
        <v>2.5</v>
      </c>
    </row>
    <row r="7" spans="1:7" x14ac:dyDescent="0.25">
      <c r="A7">
        <v>40</v>
      </c>
      <c r="B7">
        <v>3.9</v>
      </c>
      <c r="C7">
        <v>0.9</v>
      </c>
      <c r="D7">
        <v>1.2</v>
      </c>
      <c r="E7">
        <v>1.5</v>
      </c>
      <c r="F7">
        <v>1.9</v>
      </c>
      <c r="G7">
        <v>2.2000000000000002</v>
      </c>
    </row>
    <row r="8" spans="1:7" x14ac:dyDescent="0.25">
      <c r="A8">
        <v>45</v>
      </c>
      <c r="B8">
        <v>4.3</v>
      </c>
      <c r="C8">
        <v>0.8</v>
      </c>
      <c r="D8">
        <v>1.1000000000000001</v>
      </c>
      <c r="E8">
        <v>1.4</v>
      </c>
      <c r="F8">
        <v>1.7</v>
      </c>
      <c r="G8">
        <v>2</v>
      </c>
    </row>
    <row r="9" spans="1:7" x14ac:dyDescent="0.25">
      <c r="A9">
        <v>50</v>
      </c>
      <c r="B9">
        <v>4.7</v>
      </c>
      <c r="C9">
        <v>0.7</v>
      </c>
      <c r="D9">
        <v>1</v>
      </c>
      <c r="E9">
        <v>1.2</v>
      </c>
      <c r="F9">
        <v>1.5</v>
      </c>
      <c r="G9">
        <v>1.8</v>
      </c>
    </row>
    <row r="10" spans="1:7" x14ac:dyDescent="0.25">
      <c r="A10">
        <v>55</v>
      </c>
      <c r="B10">
        <v>5</v>
      </c>
      <c r="C10">
        <v>0.6</v>
      </c>
      <c r="D10">
        <v>0.9</v>
      </c>
      <c r="E10">
        <v>1.1000000000000001</v>
      </c>
      <c r="F10">
        <v>1.4</v>
      </c>
      <c r="G10">
        <v>1.6</v>
      </c>
    </row>
    <row r="11" spans="1:7" x14ac:dyDescent="0.25">
      <c r="A11">
        <v>60</v>
      </c>
      <c r="B11">
        <v>5.4</v>
      </c>
      <c r="C11">
        <v>0.6</v>
      </c>
      <c r="D11">
        <v>0.8</v>
      </c>
      <c r="E11">
        <v>1</v>
      </c>
      <c r="F11">
        <v>1.2</v>
      </c>
      <c r="G11">
        <v>1.5</v>
      </c>
    </row>
  </sheetData>
  <mergeCells count="1">
    <mergeCell ref="C2:G2"/>
  </mergeCells>
  <phoneticPr fontId="25"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B1:I31"/>
  <sheetViews>
    <sheetView workbookViewId="0">
      <selection activeCell="A27" sqref="A27:IV31"/>
    </sheetView>
  </sheetViews>
  <sheetFormatPr defaultColWidth="9" defaultRowHeight="14.4" x14ac:dyDescent="0.25"/>
  <cols>
    <col min="1" max="1" width="9.109375" customWidth="1"/>
    <col min="2" max="2" width="15.109375" customWidth="1"/>
    <col min="7" max="7" width="11.5546875" customWidth="1"/>
    <col min="8" max="8" width="19.33203125" customWidth="1"/>
    <col min="9" max="9" width="9.88671875" customWidth="1"/>
  </cols>
  <sheetData>
    <row r="1" spans="2:9" x14ac:dyDescent="0.25">
      <c r="B1" s="478" t="s">
        <v>635</v>
      </c>
      <c r="C1" s="478"/>
      <c r="D1" s="478"/>
    </row>
    <row r="2" spans="2:9" x14ac:dyDescent="0.25">
      <c r="B2" s="2"/>
      <c r="C2" s="478" t="s">
        <v>636</v>
      </c>
      <c r="D2" s="478"/>
    </row>
    <row r="3" spans="2:9" x14ac:dyDescent="0.25">
      <c r="B3" s="3" t="s">
        <v>637</v>
      </c>
      <c r="C3" s="1">
        <v>3</v>
      </c>
      <c r="D3" s="3">
        <v>4</v>
      </c>
      <c r="G3" s="3" t="s">
        <v>637</v>
      </c>
      <c r="H3" s="4" t="s">
        <v>638</v>
      </c>
      <c r="I3" s="7" t="s">
        <v>639</v>
      </c>
    </row>
    <row r="4" spans="2:9" x14ac:dyDescent="0.25">
      <c r="B4" s="5">
        <v>20</v>
      </c>
      <c r="C4" s="2">
        <v>90</v>
      </c>
      <c r="D4" s="5">
        <v>115</v>
      </c>
      <c r="G4" s="5">
        <v>25</v>
      </c>
      <c r="H4" s="6">
        <v>60</v>
      </c>
      <c r="I4" s="2">
        <v>0.8</v>
      </c>
    </row>
    <row r="5" spans="2:9" x14ac:dyDescent="0.25">
      <c r="B5" s="5">
        <v>25</v>
      </c>
      <c r="C5" s="2">
        <v>110</v>
      </c>
      <c r="D5" s="5">
        <v>145</v>
      </c>
      <c r="G5" s="5">
        <v>30</v>
      </c>
      <c r="H5" s="6">
        <v>60</v>
      </c>
      <c r="I5" s="2">
        <v>2.1</v>
      </c>
    </row>
    <row r="6" spans="2:9" x14ac:dyDescent="0.25">
      <c r="B6" s="5">
        <v>30</v>
      </c>
      <c r="C6" s="2">
        <v>130</v>
      </c>
      <c r="D6" s="5">
        <v>175</v>
      </c>
      <c r="G6" s="5">
        <v>35</v>
      </c>
      <c r="H6" s="6">
        <v>55</v>
      </c>
      <c r="I6" s="2">
        <v>1</v>
      </c>
    </row>
    <row r="7" spans="2:9" x14ac:dyDescent="0.25">
      <c r="B7" s="5">
        <v>35</v>
      </c>
      <c r="C7" s="2">
        <v>155</v>
      </c>
      <c r="D7" s="5">
        <v>205</v>
      </c>
      <c r="G7" s="5">
        <v>40</v>
      </c>
      <c r="H7" s="6">
        <v>70</v>
      </c>
      <c r="I7" s="2">
        <v>1.6</v>
      </c>
    </row>
    <row r="8" spans="2:9" x14ac:dyDescent="0.25">
      <c r="B8" s="5">
        <v>40</v>
      </c>
      <c r="C8" s="2">
        <v>180</v>
      </c>
      <c r="D8" s="5">
        <v>235</v>
      </c>
      <c r="G8" s="5">
        <v>45</v>
      </c>
      <c r="H8" s="6">
        <v>75</v>
      </c>
      <c r="I8" s="2">
        <v>1</v>
      </c>
    </row>
    <row r="9" spans="2:9" x14ac:dyDescent="0.25">
      <c r="B9" s="5">
        <v>45</v>
      </c>
      <c r="C9" s="2">
        <v>200</v>
      </c>
      <c r="D9" s="5">
        <v>265</v>
      </c>
      <c r="G9" s="5">
        <v>50</v>
      </c>
      <c r="H9" s="6">
        <v>75</v>
      </c>
      <c r="I9" s="2">
        <v>1</v>
      </c>
    </row>
    <row r="10" spans="2:9" x14ac:dyDescent="0.25">
      <c r="B10" s="5">
        <v>50</v>
      </c>
      <c r="D10" s="5">
        <v>265</v>
      </c>
      <c r="G10" s="5">
        <v>55</v>
      </c>
      <c r="H10" s="6">
        <v>75</v>
      </c>
      <c r="I10" s="2">
        <v>1</v>
      </c>
    </row>
    <row r="11" spans="2:9" x14ac:dyDescent="0.25">
      <c r="B11" s="5">
        <v>55</v>
      </c>
      <c r="D11" s="5">
        <v>265</v>
      </c>
    </row>
    <row r="16" spans="2:9" x14ac:dyDescent="0.25">
      <c r="B16" s="2" t="s">
        <v>640</v>
      </c>
      <c r="C16" s="430" t="s">
        <v>641</v>
      </c>
      <c r="D16" s="430"/>
      <c r="E16" s="430"/>
      <c r="F16" s="430"/>
      <c r="G16" s="430"/>
      <c r="H16" s="430"/>
      <c r="I16" s="430"/>
    </row>
    <row r="17" spans="2:9" x14ac:dyDescent="0.25">
      <c r="B17" t="s">
        <v>642</v>
      </c>
      <c r="C17" s="5">
        <v>25</v>
      </c>
      <c r="D17" s="5">
        <v>30</v>
      </c>
      <c r="E17" s="5">
        <v>35</v>
      </c>
      <c r="F17" s="5">
        <v>40</v>
      </c>
      <c r="G17" s="5">
        <v>45</v>
      </c>
      <c r="H17" s="5">
        <v>50</v>
      </c>
      <c r="I17" s="5">
        <v>55</v>
      </c>
    </row>
    <row r="18" spans="2:9" x14ac:dyDescent="0.25">
      <c r="B18" s="6">
        <v>55</v>
      </c>
      <c r="C18" s="2">
        <v>1.7</v>
      </c>
      <c r="D18" s="2">
        <v>2.1</v>
      </c>
      <c r="E18" s="2">
        <v>2.2999999999999998</v>
      </c>
      <c r="F18" s="2">
        <v>2.6</v>
      </c>
      <c r="G18" s="2">
        <v>2.7</v>
      </c>
      <c r="H18" s="2">
        <v>2.7</v>
      </c>
      <c r="I18" s="2">
        <v>2.7</v>
      </c>
    </row>
    <row r="19" spans="2:9" x14ac:dyDescent="0.25">
      <c r="B19" s="6">
        <v>60</v>
      </c>
      <c r="C19" s="2">
        <v>1.5</v>
      </c>
      <c r="D19" s="2">
        <v>2</v>
      </c>
      <c r="E19" s="2">
        <v>2.2000000000000002</v>
      </c>
      <c r="F19" s="2">
        <v>2.5</v>
      </c>
      <c r="G19" s="2">
        <v>2.6</v>
      </c>
      <c r="H19" s="2">
        <v>2.6</v>
      </c>
      <c r="I19" s="2">
        <v>2.6</v>
      </c>
    </row>
    <row r="20" spans="2:9" x14ac:dyDescent="0.25">
      <c r="B20" s="6">
        <v>65</v>
      </c>
      <c r="C20" s="2">
        <v>1.4</v>
      </c>
      <c r="D20" s="2">
        <v>1.8</v>
      </c>
      <c r="E20" s="2">
        <v>2.1</v>
      </c>
      <c r="F20" s="2">
        <v>2.4</v>
      </c>
      <c r="G20" s="2">
        <v>2.5</v>
      </c>
      <c r="H20" s="2">
        <v>2.5</v>
      </c>
      <c r="I20" s="2">
        <v>2.5</v>
      </c>
    </row>
    <row r="21" spans="2:9" x14ac:dyDescent="0.25">
      <c r="B21" s="6">
        <v>70</v>
      </c>
      <c r="C21" s="2">
        <v>1.2</v>
      </c>
      <c r="D21" s="2">
        <v>1.7</v>
      </c>
      <c r="E21" s="2">
        <v>2</v>
      </c>
      <c r="F21" s="2">
        <v>2.2999999999999998</v>
      </c>
      <c r="G21" s="2">
        <v>2.4</v>
      </c>
      <c r="H21" s="2">
        <v>2.4</v>
      </c>
      <c r="I21" s="2">
        <v>2.4</v>
      </c>
    </row>
    <row r="22" spans="2:9" x14ac:dyDescent="0.25">
      <c r="B22" s="6">
        <v>75</v>
      </c>
      <c r="C22" s="2">
        <v>1.1000000000000001</v>
      </c>
      <c r="D22" s="2">
        <v>1.6</v>
      </c>
      <c r="E22" s="2">
        <v>1.9</v>
      </c>
      <c r="F22" s="2">
        <v>2.2000000000000002</v>
      </c>
      <c r="G22" s="2">
        <v>2.4</v>
      </c>
      <c r="H22" s="2">
        <v>2.4</v>
      </c>
      <c r="I22" s="2">
        <v>2.4</v>
      </c>
    </row>
    <row r="25" spans="2:9" x14ac:dyDescent="0.25">
      <c r="B25" s="2" t="s">
        <v>643</v>
      </c>
      <c r="C25" s="430" t="s">
        <v>539</v>
      </c>
      <c r="D25" s="430"/>
      <c r="E25" s="430"/>
      <c r="F25" s="430"/>
      <c r="G25" s="430"/>
      <c r="H25" s="430"/>
      <c r="I25" s="430"/>
    </row>
    <row r="26" spans="2:9" x14ac:dyDescent="0.25">
      <c r="B26" t="s">
        <v>642</v>
      </c>
      <c r="C26" s="5">
        <v>25</v>
      </c>
      <c r="D26" s="5">
        <v>30</v>
      </c>
      <c r="E26" s="5">
        <v>35</v>
      </c>
      <c r="F26" s="5">
        <v>40</v>
      </c>
      <c r="G26" s="5">
        <v>45</v>
      </c>
      <c r="H26" s="5">
        <v>50</v>
      </c>
      <c r="I26" s="5">
        <v>55</v>
      </c>
    </row>
    <row r="27" spans="2:9" x14ac:dyDescent="0.25">
      <c r="B27" s="6">
        <v>55</v>
      </c>
      <c r="C27" s="2">
        <v>0</v>
      </c>
      <c r="D27" s="2">
        <v>0.1</v>
      </c>
      <c r="E27" s="2">
        <v>0.3</v>
      </c>
      <c r="F27" s="2">
        <v>0.6</v>
      </c>
      <c r="G27" s="2">
        <v>0.7</v>
      </c>
      <c r="H27" s="2">
        <v>0.7</v>
      </c>
      <c r="I27" s="2">
        <v>0.7</v>
      </c>
    </row>
    <row r="28" spans="2:9" x14ac:dyDescent="0.25">
      <c r="B28" s="6">
        <v>60</v>
      </c>
      <c r="C28" s="2">
        <v>0</v>
      </c>
      <c r="D28" s="2">
        <v>0</v>
      </c>
      <c r="E28" s="2">
        <v>0.2</v>
      </c>
      <c r="F28" s="2">
        <v>0.5</v>
      </c>
      <c r="G28" s="2">
        <v>0.6</v>
      </c>
      <c r="H28" s="2">
        <v>0.6</v>
      </c>
      <c r="I28" s="2">
        <v>0.6</v>
      </c>
    </row>
    <row r="29" spans="2:9" x14ac:dyDescent="0.25">
      <c r="B29" s="6">
        <v>65</v>
      </c>
      <c r="C29" s="2">
        <v>0</v>
      </c>
      <c r="D29" s="2">
        <v>0</v>
      </c>
      <c r="E29" s="2">
        <v>0.1</v>
      </c>
      <c r="F29" s="2">
        <v>0.4</v>
      </c>
      <c r="G29" s="2">
        <v>0.5</v>
      </c>
      <c r="H29" s="2">
        <v>0.5</v>
      </c>
      <c r="I29" s="2">
        <v>0.5</v>
      </c>
    </row>
    <row r="30" spans="2:9" x14ac:dyDescent="0.25">
      <c r="B30" s="6">
        <v>70</v>
      </c>
      <c r="C30" s="2">
        <v>0</v>
      </c>
      <c r="D30" s="2">
        <v>0</v>
      </c>
      <c r="E30" s="2">
        <v>0</v>
      </c>
      <c r="F30" s="2">
        <v>0.3</v>
      </c>
      <c r="G30" s="2">
        <v>0.3</v>
      </c>
      <c r="H30" s="2">
        <v>0.3</v>
      </c>
      <c r="I30" s="2">
        <v>0.3</v>
      </c>
    </row>
    <row r="31" spans="2:9" x14ac:dyDescent="0.25">
      <c r="B31" s="6">
        <v>75</v>
      </c>
      <c r="C31" s="2">
        <v>0</v>
      </c>
      <c r="D31" s="2">
        <v>0</v>
      </c>
      <c r="E31" s="2">
        <v>0</v>
      </c>
      <c r="F31" s="2">
        <v>0.2</v>
      </c>
      <c r="G31" s="2">
        <v>0.4</v>
      </c>
      <c r="H31" s="2">
        <v>0.4</v>
      </c>
      <c r="I31" s="2">
        <v>0.4</v>
      </c>
    </row>
  </sheetData>
  <mergeCells count="4">
    <mergeCell ref="B1:D1"/>
    <mergeCell ref="C2:D2"/>
    <mergeCell ref="C16:I16"/>
    <mergeCell ref="C25:I25"/>
  </mergeCells>
  <phoneticPr fontId="25" type="noConversion"/>
  <pageMargins left="0.7" right="0.7" top="0.75" bottom="0.75" header="0.3" footer="0.3"/>
  <pageSetup orientation="portrait" horizontalDpi="1200" verticalDpi="120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Sheet1</vt:lpstr>
      <vt:lpstr>Input sheet</vt:lpstr>
      <vt:lpstr>Phase designation</vt:lpstr>
      <vt:lpstr>Lane volumes</vt:lpstr>
      <vt:lpstr>Phase calculation</vt:lpstr>
      <vt:lpstr>Max greens</vt:lpstr>
      <vt:lpstr>LOS table</vt:lpstr>
      <vt:lpstr>Phasing</vt:lpstr>
      <vt:lpstr>Summary sheet</vt:lpstr>
      <vt:lpstr>Phasing chart</vt:lpstr>
      <vt:lpstr>signal_phase</vt:lpstr>
      <vt:lpstr>signal_phase_concurrency</vt:lpstr>
      <vt:lpstr>signal_timing_plan</vt:lpstr>
      <vt:lpstr>signal_timing_phase</vt:lpstr>
      <vt:lpstr>data_dictionary</vt:lpstr>
      <vt:lpstr>Y-AllRed</vt:lpstr>
      <vt:lpstr>DetZone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nastare nastare</cp:lastModifiedBy>
  <dcterms:created xsi:type="dcterms:W3CDTF">2012-08-31T17:18:00Z</dcterms:created>
  <dcterms:modified xsi:type="dcterms:W3CDTF">2020-08-01T11:58:11Z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1033-11.2.0.9453</vt:lpwstr>
  </property>
</Properties>
</file>